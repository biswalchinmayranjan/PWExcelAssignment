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bhishek\Desktop\"/>
    </mc:Choice>
  </mc:AlternateContent>
  <xr:revisionPtr revIDLastSave="0" documentId="8_{7DDEF72D-F2CB-4E98-A47C-BBA88D2E59A9}" xr6:coauthVersionLast="47" xr6:coauthVersionMax="47" xr10:uidLastSave="{00000000-0000-0000-0000-000000000000}"/>
  <bookViews>
    <workbookView xWindow="-28920" yWindow="9345" windowWidth="29040" windowHeight="15720" tabRatio="778" activeTab="8" xr2:uid="{0B7755BD-E33B-457E-9452-1224F94E1A6E}"/>
  </bookViews>
  <sheets>
    <sheet name="Sheet1" sheetId="1" r:id="rId1"/>
    <sheet name="Question1." sheetId="14" r:id="rId2"/>
    <sheet name="Question2." sheetId="2" r:id="rId3"/>
    <sheet name="Question3." sheetId="3" r:id="rId4"/>
    <sheet name="Question4." sheetId="4" r:id="rId5"/>
    <sheet name="Question6." sheetId="8" r:id="rId6"/>
    <sheet name="Question7." sheetId="7" r:id="rId7"/>
    <sheet name="Question8." sheetId="5" r:id="rId8"/>
    <sheet name="Dashboard" sheetId="9" r:id="rId9"/>
    <sheet name="Pivot Tables" sheetId="10" r:id="rId10"/>
  </sheets>
  <definedNames>
    <definedName name="_xlnm._FilterDatabase" localSheetId="4" hidden="1">Question4.!$N$3:$N$353</definedName>
    <definedName name="Slicer_Category">#N/A</definedName>
    <definedName name="Slicer_Country">#N/A</definedName>
    <definedName name="Slicer_Months__Order_Date">#N/A</definedName>
    <definedName name="Slicer_Region">#N/A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53" i="5" l="1"/>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5" i="8"/>
  <c r="M4" i="4"/>
  <c r="N4" i="4" s="1"/>
  <c r="N32" i="4"/>
  <c r="N33" i="4"/>
  <c r="N56" i="4"/>
  <c r="N57" i="4"/>
  <c r="N68" i="4"/>
  <c r="N69" i="4"/>
  <c r="N92" i="4"/>
  <c r="N93" i="4"/>
  <c r="N104" i="4"/>
  <c r="N129" i="4"/>
  <c r="N140" i="4"/>
  <c r="N141" i="4"/>
  <c r="N164" i="4"/>
  <c r="N165" i="4"/>
  <c r="N176" i="4"/>
  <c r="N177" i="4"/>
  <c r="N183" i="4"/>
  <c r="N213" i="4"/>
  <c r="N236" i="4"/>
  <c r="N237" i="4"/>
  <c r="N248" i="4"/>
  <c r="N249" i="4"/>
  <c r="N272" i="4"/>
  <c r="N273" i="4"/>
  <c r="N284" i="4"/>
  <c r="N320" i="4"/>
  <c r="N321" i="4"/>
  <c r="N332" i="4"/>
  <c r="N333" i="4"/>
  <c r="N344" i="4"/>
  <c r="N345" i="4"/>
  <c r="M5" i="4"/>
  <c r="N5" i="4" s="1"/>
  <c r="M6" i="4"/>
  <c r="N6" i="4" s="1"/>
  <c r="M7" i="4"/>
  <c r="N7" i="4"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M33" i="4"/>
  <c r="M34" i="4"/>
  <c r="N34" i="4" s="1"/>
  <c r="M35" i="4"/>
  <c r="N35" i="4" s="1"/>
  <c r="M36" i="4"/>
  <c r="N36" i="4" s="1"/>
  <c r="M37" i="4"/>
  <c r="N37" i="4" s="1"/>
  <c r="M38" i="4"/>
  <c r="N38" i="4" s="1"/>
  <c r="M39" i="4"/>
  <c r="N39" i="4" s="1"/>
  <c r="M40" i="4"/>
  <c r="N40" i="4" s="1"/>
  <c r="M41" i="4"/>
  <c r="N41" i="4" s="1"/>
  <c r="M42" i="4"/>
  <c r="N42" i="4" s="1"/>
  <c r="M43" i="4"/>
  <c r="N43" i="4" s="1"/>
  <c r="M44" i="4"/>
  <c r="N44" i="4" s="1"/>
  <c r="M45" i="4"/>
  <c r="N45" i="4" s="1"/>
  <c r="M46" i="4"/>
  <c r="N46" i="4" s="1"/>
  <c r="M47" i="4"/>
  <c r="N47" i="4" s="1"/>
  <c r="M48" i="4"/>
  <c r="N48" i="4" s="1"/>
  <c r="M49" i="4"/>
  <c r="N49" i="4" s="1"/>
  <c r="M50" i="4"/>
  <c r="N50" i="4" s="1"/>
  <c r="M51" i="4"/>
  <c r="N51" i="4" s="1"/>
  <c r="M52" i="4"/>
  <c r="N52" i="4" s="1"/>
  <c r="M53" i="4"/>
  <c r="N53" i="4" s="1"/>
  <c r="M54" i="4"/>
  <c r="N54" i="4" s="1"/>
  <c r="M55" i="4"/>
  <c r="N55" i="4" s="1"/>
  <c r="M56" i="4"/>
  <c r="M57" i="4"/>
  <c r="M58" i="4"/>
  <c r="N58" i="4" s="1"/>
  <c r="M59" i="4"/>
  <c r="N59" i="4" s="1"/>
  <c r="M60" i="4"/>
  <c r="N60" i="4" s="1"/>
  <c r="M61" i="4"/>
  <c r="N61" i="4" s="1"/>
  <c r="M62" i="4"/>
  <c r="N62" i="4" s="1"/>
  <c r="M63" i="4"/>
  <c r="N63" i="4" s="1"/>
  <c r="M64" i="4"/>
  <c r="N64" i="4" s="1"/>
  <c r="M65" i="4"/>
  <c r="N65" i="4" s="1"/>
  <c r="M66" i="4"/>
  <c r="N66" i="4" s="1"/>
  <c r="M67" i="4"/>
  <c r="N67" i="4" s="1"/>
  <c r="M68" i="4"/>
  <c r="M69" i="4"/>
  <c r="M70" i="4"/>
  <c r="N70" i="4" s="1"/>
  <c r="M71" i="4"/>
  <c r="N71" i="4" s="1"/>
  <c r="M72" i="4"/>
  <c r="N72" i="4" s="1"/>
  <c r="M73" i="4"/>
  <c r="N73" i="4" s="1"/>
  <c r="M74" i="4"/>
  <c r="N74" i="4" s="1"/>
  <c r="M75" i="4"/>
  <c r="N75" i="4" s="1"/>
  <c r="M76" i="4"/>
  <c r="N76" i="4" s="1"/>
  <c r="M77" i="4"/>
  <c r="N77" i="4" s="1"/>
  <c r="M78" i="4"/>
  <c r="N78" i="4" s="1"/>
  <c r="M79" i="4"/>
  <c r="N79" i="4" s="1"/>
  <c r="M80" i="4"/>
  <c r="N80" i="4" s="1"/>
  <c r="M81" i="4"/>
  <c r="N81" i="4" s="1"/>
  <c r="M82" i="4"/>
  <c r="N82" i="4" s="1"/>
  <c r="M83" i="4"/>
  <c r="N83" i="4" s="1"/>
  <c r="M84" i="4"/>
  <c r="N84" i="4" s="1"/>
  <c r="M85" i="4"/>
  <c r="N85" i="4" s="1"/>
  <c r="M86" i="4"/>
  <c r="N86" i="4" s="1"/>
  <c r="M87" i="4"/>
  <c r="N87" i="4" s="1"/>
  <c r="M88" i="4"/>
  <c r="N88" i="4" s="1"/>
  <c r="M89" i="4"/>
  <c r="N89" i="4" s="1"/>
  <c r="M90" i="4"/>
  <c r="N90" i="4" s="1"/>
  <c r="M91" i="4"/>
  <c r="N91" i="4" s="1"/>
  <c r="M92" i="4"/>
  <c r="M93" i="4"/>
  <c r="M94" i="4"/>
  <c r="N94" i="4" s="1"/>
  <c r="M95" i="4"/>
  <c r="N95" i="4" s="1"/>
  <c r="M96" i="4"/>
  <c r="N96" i="4" s="1"/>
  <c r="M97" i="4"/>
  <c r="N97" i="4" s="1"/>
  <c r="M98" i="4"/>
  <c r="N98" i="4" s="1"/>
  <c r="M99" i="4"/>
  <c r="N99" i="4" s="1"/>
  <c r="M100" i="4"/>
  <c r="N100" i="4" s="1"/>
  <c r="M101" i="4"/>
  <c r="N101" i="4" s="1"/>
  <c r="M102" i="4"/>
  <c r="N102" i="4" s="1"/>
  <c r="M103" i="4"/>
  <c r="N103" i="4" s="1"/>
  <c r="M104" i="4"/>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M121" i="4"/>
  <c r="N121" i="4" s="1"/>
  <c r="M122" i="4"/>
  <c r="N122" i="4" s="1"/>
  <c r="M123" i="4"/>
  <c r="N123" i="4" s="1"/>
  <c r="M124" i="4"/>
  <c r="N124" i="4" s="1"/>
  <c r="M125" i="4"/>
  <c r="N125" i="4" s="1"/>
  <c r="M126" i="4"/>
  <c r="N126" i="4" s="1"/>
  <c r="M127" i="4"/>
  <c r="N127" i="4" s="1"/>
  <c r="M128" i="4"/>
  <c r="N128" i="4" s="1"/>
  <c r="M129" i="4"/>
  <c r="M130" i="4"/>
  <c r="N130" i="4" s="1"/>
  <c r="M131" i="4"/>
  <c r="N131" i="4" s="1"/>
  <c r="M132" i="4"/>
  <c r="N132" i="4" s="1"/>
  <c r="M133" i="4"/>
  <c r="N133" i="4" s="1"/>
  <c r="M134" i="4"/>
  <c r="N134" i="4" s="1"/>
  <c r="M135" i="4"/>
  <c r="N135" i="4" s="1"/>
  <c r="M136" i="4"/>
  <c r="N136" i="4" s="1"/>
  <c r="M137" i="4"/>
  <c r="N137" i="4" s="1"/>
  <c r="M138" i="4"/>
  <c r="N138" i="4" s="1"/>
  <c r="M139" i="4"/>
  <c r="N139" i="4" s="1"/>
  <c r="M140" i="4"/>
  <c r="M141" i="4"/>
  <c r="M142" i="4"/>
  <c r="N142" i="4" s="1"/>
  <c r="M143" i="4"/>
  <c r="N143" i="4" s="1"/>
  <c r="M144" i="4"/>
  <c r="N144" i="4" s="1"/>
  <c r="M145" i="4"/>
  <c r="N145" i="4" s="1"/>
  <c r="M146" i="4"/>
  <c r="N146" i="4" s="1"/>
  <c r="M147" i="4"/>
  <c r="N147" i="4" s="1"/>
  <c r="M148" i="4"/>
  <c r="N148" i="4" s="1"/>
  <c r="M149" i="4"/>
  <c r="N149" i="4" s="1"/>
  <c r="M150" i="4"/>
  <c r="N150" i="4" s="1"/>
  <c r="M151" i="4"/>
  <c r="N151" i="4" s="1"/>
  <c r="M152" i="4"/>
  <c r="N152" i="4" s="1"/>
  <c r="M153" i="4"/>
  <c r="N153" i="4" s="1"/>
  <c r="M154" i="4"/>
  <c r="N154" i="4" s="1"/>
  <c r="M155" i="4"/>
  <c r="N155" i="4" s="1"/>
  <c r="M156" i="4"/>
  <c r="N156" i="4" s="1"/>
  <c r="M157" i="4"/>
  <c r="N157" i="4" s="1"/>
  <c r="M158" i="4"/>
  <c r="N158" i="4" s="1"/>
  <c r="M159" i="4"/>
  <c r="N159" i="4" s="1"/>
  <c r="M160" i="4"/>
  <c r="N160" i="4" s="1"/>
  <c r="M161" i="4"/>
  <c r="N161" i="4" s="1"/>
  <c r="M162" i="4"/>
  <c r="N162" i="4" s="1"/>
  <c r="M163" i="4"/>
  <c r="N163" i="4" s="1"/>
  <c r="M164" i="4"/>
  <c r="M165" i="4"/>
  <c r="M166" i="4"/>
  <c r="N166" i="4" s="1"/>
  <c r="M167" i="4"/>
  <c r="N167" i="4" s="1"/>
  <c r="M168" i="4"/>
  <c r="N168" i="4" s="1"/>
  <c r="M169" i="4"/>
  <c r="N169" i="4" s="1"/>
  <c r="M170" i="4"/>
  <c r="N170" i="4" s="1"/>
  <c r="M171" i="4"/>
  <c r="N171" i="4" s="1"/>
  <c r="M172" i="4"/>
  <c r="N172" i="4" s="1"/>
  <c r="M173" i="4"/>
  <c r="N173" i="4" s="1"/>
  <c r="M174" i="4"/>
  <c r="N174" i="4" s="1"/>
  <c r="M175" i="4"/>
  <c r="N175" i="4" s="1"/>
  <c r="M176" i="4"/>
  <c r="M177" i="4"/>
  <c r="M178" i="4"/>
  <c r="N178" i="4" s="1"/>
  <c r="M179" i="4"/>
  <c r="N179" i="4" s="1"/>
  <c r="M180" i="4"/>
  <c r="N180" i="4" s="1"/>
  <c r="M181" i="4"/>
  <c r="N181" i="4" s="1"/>
  <c r="M182" i="4"/>
  <c r="N182" i="4" s="1"/>
  <c r="M183" i="4"/>
  <c r="M184" i="4"/>
  <c r="N184" i="4" s="1"/>
  <c r="M185" i="4"/>
  <c r="N185" i="4" s="1"/>
  <c r="M186" i="4"/>
  <c r="N186" i="4" s="1"/>
  <c r="M187" i="4"/>
  <c r="N187" i="4" s="1"/>
  <c r="M188" i="4"/>
  <c r="N188" i="4" s="1"/>
  <c r="M189" i="4"/>
  <c r="N189" i="4" s="1"/>
  <c r="M190" i="4"/>
  <c r="N190" i="4" s="1"/>
  <c r="M191" i="4"/>
  <c r="N191" i="4" s="1"/>
  <c r="M192" i="4"/>
  <c r="N192" i="4" s="1"/>
  <c r="M193" i="4"/>
  <c r="N193" i="4" s="1"/>
  <c r="M194" i="4"/>
  <c r="N194" i="4" s="1"/>
  <c r="M195" i="4"/>
  <c r="N195" i="4" s="1"/>
  <c r="M196" i="4"/>
  <c r="N196" i="4" s="1"/>
  <c r="M197" i="4"/>
  <c r="N197" i="4" s="1"/>
  <c r="M198" i="4"/>
  <c r="N198" i="4" s="1"/>
  <c r="M199" i="4"/>
  <c r="N199" i="4" s="1"/>
  <c r="M200" i="4"/>
  <c r="N200" i="4" s="1"/>
  <c r="M201" i="4"/>
  <c r="N201" i="4" s="1"/>
  <c r="M202" i="4"/>
  <c r="N202" i="4" s="1"/>
  <c r="M203" i="4"/>
  <c r="N203" i="4" s="1"/>
  <c r="M204" i="4"/>
  <c r="N204" i="4" s="1"/>
  <c r="M205" i="4"/>
  <c r="N205" i="4" s="1"/>
  <c r="M206" i="4"/>
  <c r="N206" i="4" s="1"/>
  <c r="M207" i="4"/>
  <c r="N207" i="4" s="1"/>
  <c r="M208" i="4"/>
  <c r="N208" i="4" s="1"/>
  <c r="M209" i="4"/>
  <c r="N209" i="4" s="1"/>
  <c r="M210" i="4"/>
  <c r="N210" i="4" s="1"/>
  <c r="M211" i="4"/>
  <c r="N211" i="4" s="1"/>
  <c r="M212" i="4"/>
  <c r="N212" i="4" s="1"/>
  <c r="M213" i="4"/>
  <c r="M214" i="4"/>
  <c r="N214" i="4" s="1"/>
  <c r="M215" i="4"/>
  <c r="N215" i="4" s="1"/>
  <c r="M216" i="4"/>
  <c r="N216" i="4" s="1"/>
  <c r="M217" i="4"/>
  <c r="N217" i="4" s="1"/>
  <c r="M218" i="4"/>
  <c r="N218" i="4" s="1"/>
  <c r="M219" i="4"/>
  <c r="N219" i="4" s="1"/>
  <c r="M220" i="4"/>
  <c r="N220" i="4" s="1"/>
  <c r="M221" i="4"/>
  <c r="N221" i="4" s="1"/>
  <c r="M222" i="4"/>
  <c r="N222" i="4" s="1"/>
  <c r="M223" i="4"/>
  <c r="N223" i="4" s="1"/>
  <c r="M224" i="4"/>
  <c r="N224" i="4" s="1"/>
  <c r="M225" i="4"/>
  <c r="N225" i="4" s="1"/>
  <c r="M226" i="4"/>
  <c r="N226" i="4" s="1"/>
  <c r="M227" i="4"/>
  <c r="N227" i="4" s="1"/>
  <c r="M228" i="4"/>
  <c r="N228" i="4" s="1"/>
  <c r="M229" i="4"/>
  <c r="N229" i="4" s="1"/>
  <c r="M230" i="4"/>
  <c r="N230" i="4" s="1"/>
  <c r="M231" i="4"/>
  <c r="N231" i="4" s="1"/>
  <c r="M232" i="4"/>
  <c r="N232" i="4" s="1"/>
  <c r="M233" i="4"/>
  <c r="N233" i="4" s="1"/>
  <c r="M234" i="4"/>
  <c r="N234" i="4" s="1"/>
  <c r="M235" i="4"/>
  <c r="N235" i="4" s="1"/>
  <c r="M236" i="4"/>
  <c r="M237" i="4"/>
  <c r="M238" i="4"/>
  <c r="N238" i="4" s="1"/>
  <c r="M239" i="4"/>
  <c r="N239" i="4" s="1"/>
  <c r="M240" i="4"/>
  <c r="N240" i="4" s="1"/>
  <c r="M241" i="4"/>
  <c r="N241" i="4" s="1"/>
  <c r="M242" i="4"/>
  <c r="N242" i="4" s="1"/>
  <c r="M243" i="4"/>
  <c r="N243" i="4" s="1"/>
  <c r="M244" i="4"/>
  <c r="N244" i="4" s="1"/>
  <c r="M245" i="4"/>
  <c r="N245" i="4" s="1"/>
  <c r="M246" i="4"/>
  <c r="N246" i="4" s="1"/>
  <c r="M247" i="4"/>
  <c r="N247" i="4" s="1"/>
  <c r="M248" i="4"/>
  <c r="M249" i="4"/>
  <c r="M250" i="4"/>
  <c r="N250" i="4" s="1"/>
  <c r="M251" i="4"/>
  <c r="N251" i="4" s="1"/>
  <c r="M252" i="4"/>
  <c r="N252" i="4" s="1"/>
  <c r="M253" i="4"/>
  <c r="N253" i="4" s="1"/>
  <c r="M254" i="4"/>
  <c r="N254" i="4" s="1"/>
  <c r="M255" i="4"/>
  <c r="N255" i="4" s="1"/>
  <c r="M256" i="4"/>
  <c r="N256" i="4" s="1"/>
  <c r="M257" i="4"/>
  <c r="N257" i="4" s="1"/>
  <c r="M258" i="4"/>
  <c r="N258" i="4" s="1"/>
  <c r="M259" i="4"/>
  <c r="N259" i="4" s="1"/>
  <c r="M260" i="4"/>
  <c r="N260" i="4" s="1"/>
  <c r="M261" i="4"/>
  <c r="N261" i="4" s="1"/>
  <c r="M262" i="4"/>
  <c r="N262" i="4" s="1"/>
  <c r="M263" i="4"/>
  <c r="N263" i="4" s="1"/>
  <c r="M264" i="4"/>
  <c r="N264" i="4" s="1"/>
  <c r="M265" i="4"/>
  <c r="N265" i="4" s="1"/>
  <c r="M266" i="4"/>
  <c r="N266" i="4" s="1"/>
  <c r="M267" i="4"/>
  <c r="N267" i="4" s="1"/>
  <c r="M268" i="4"/>
  <c r="N268" i="4" s="1"/>
  <c r="M269" i="4"/>
  <c r="N269" i="4" s="1"/>
  <c r="M270" i="4"/>
  <c r="N270" i="4" s="1"/>
  <c r="M271" i="4"/>
  <c r="N271" i="4" s="1"/>
  <c r="M272" i="4"/>
  <c r="M273" i="4"/>
  <c r="M274" i="4"/>
  <c r="N274" i="4" s="1"/>
  <c r="M275" i="4"/>
  <c r="N275" i="4" s="1"/>
  <c r="M276" i="4"/>
  <c r="N276" i="4" s="1"/>
  <c r="M277" i="4"/>
  <c r="N277" i="4" s="1"/>
  <c r="M278" i="4"/>
  <c r="N278" i="4" s="1"/>
  <c r="M279" i="4"/>
  <c r="N279" i="4" s="1"/>
  <c r="M280" i="4"/>
  <c r="N280" i="4" s="1"/>
  <c r="M281" i="4"/>
  <c r="N281" i="4" s="1"/>
  <c r="M282" i="4"/>
  <c r="N282" i="4" s="1"/>
  <c r="M283" i="4"/>
  <c r="N283" i="4" s="1"/>
  <c r="M284" i="4"/>
  <c r="M285" i="4"/>
  <c r="N285" i="4" s="1"/>
  <c r="M286" i="4"/>
  <c r="N286" i="4" s="1"/>
  <c r="M287" i="4"/>
  <c r="N287" i="4" s="1"/>
  <c r="M288" i="4"/>
  <c r="N288" i="4" s="1"/>
  <c r="M289" i="4"/>
  <c r="N289" i="4" s="1"/>
  <c r="M290" i="4"/>
  <c r="N290" i="4" s="1"/>
  <c r="M291" i="4"/>
  <c r="N291" i="4" s="1"/>
  <c r="M292" i="4"/>
  <c r="N292" i="4" s="1"/>
  <c r="M293" i="4"/>
  <c r="N293" i="4" s="1"/>
  <c r="M294" i="4"/>
  <c r="N294" i="4" s="1"/>
  <c r="M295" i="4"/>
  <c r="N295" i="4" s="1"/>
  <c r="M296" i="4"/>
  <c r="N296" i="4" s="1"/>
  <c r="M297" i="4"/>
  <c r="N297" i="4" s="1"/>
  <c r="M298" i="4"/>
  <c r="N298" i="4" s="1"/>
  <c r="M299" i="4"/>
  <c r="N299" i="4" s="1"/>
  <c r="M300" i="4"/>
  <c r="N300" i="4" s="1"/>
  <c r="M301" i="4"/>
  <c r="N301" i="4" s="1"/>
  <c r="M302" i="4"/>
  <c r="N302" i="4" s="1"/>
  <c r="M303" i="4"/>
  <c r="N303" i="4" s="1"/>
  <c r="M304" i="4"/>
  <c r="N304" i="4" s="1"/>
  <c r="M305" i="4"/>
  <c r="N305" i="4" s="1"/>
  <c r="M306" i="4"/>
  <c r="N306" i="4" s="1"/>
  <c r="M307" i="4"/>
  <c r="N307" i="4" s="1"/>
  <c r="M308" i="4"/>
  <c r="N308" i="4" s="1"/>
  <c r="M309" i="4"/>
  <c r="N309" i="4" s="1"/>
  <c r="M310" i="4"/>
  <c r="N310" i="4" s="1"/>
  <c r="M311" i="4"/>
  <c r="N311" i="4" s="1"/>
  <c r="M312" i="4"/>
  <c r="N312" i="4" s="1"/>
  <c r="M313" i="4"/>
  <c r="N313" i="4" s="1"/>
  <c r="M314" i="4"/>
  <c r="N314" i="4" s="1"/>
  <c r="M315" i="4"/>
  <c r="N315" i="4" s="1"/>
  <c r="M316" i="4"/>
  <c r="N316" i="4" s="1"/>
  <c r="M317" i="4"/>
  <c r="N317" i="4" s="1"/>
  <c r="M318" i="4"/>
  <c r="N318" i="4" s="1"/>
  <c r="M319" i="4"/>
  <c r="N319" i="4" s="1"/>
  <c r="M320" i="4"/>
  <c r="M321" i="4"/>
  <c r="M322" i="4"/>
  <c r="N322" i="4" s="1"/>
  <c r="M323" i="4"/>
  <c r="N323" i="4" s="1"/>
  <c r="M324" i="4"/>
  <c r="N324" i="4" s="1"/>
  <c r="M325" i="4"/>
  <c r="N325" i="4" s="1"/>
  <c r="M326" i="4"/>
  <c r="N326" i="4" s="1"/>
  <c r="M327" i="4"/>
  <c r="N327" i="4" s="1"/>
  <c r="M328" i="4"/>
  <c r="N328" i="4" s="1"/>
  <c r="M329" i="4"/>
  <c r="N329" i="4" s="1"/>
  <c r="M330" i="4"/>
  <c r="N330" i="4" s="1"/>
  <c r="M331" i="4"/>
  <c r="N331" i="4" s="1"/>
  <c r="M332" i="4"/>
  <c r="M333" i="4"/>
  <c r="M334" i="4"/>
  <c r="N334" i="4" s="1"/>
  <c r="M335" i="4"/>
  <c r="N335" i="4" s="1"/>
  <c r="M336" i="4"/>
  <c r="N336" i="4" s="1"/>
  <c r="M337" i="4"/>
  <c r="N337" i="4" s="1"/>
  <c r="M338" i="4"/>
  <c r="N338" i="4" s="1"/>
  <c r="M339" i="4"/>
  <c r="N339" i="4" s="1"/>
  <c r="M340" i="4"/>
  <c r="N340" i="4" s="1"/>
  <c r="M341" i="4"/>
  <c r="N341" i="4" s="1"/>
  <c r="M342" i="4"/>
  <c r="N342" i="4" s="1"/>
  <c r="M343" i="4"/>
  <c r="N343" i="4" s="1"/>
  <c r="M344" i="4"/>
  <c r="M345" i="4"/>
  <c r="M346" i="4"/>
  <c r="N346" i="4" s="1"/>
  <c r="M347" i="4"/>
  <c r="N347" i="4" s="1"/>
  <c r="M348" i="4"/>
  <c r="N348" i="4" s="1"/>
  <c r="M349" i="4"/>
  <c r="N349" i="4" s="1"/>
  <c r="M350" i="4"/>
  <c r="N350" i="4" s="1"/>
  <c r="M351" i="4"/>
  <c r="N351" i="4" s="1"/>
  <c r="M352" i="4"/>
  <c r="N352" i="4" s="1"/>
  <c r="M353" i="4"/>
  <c r="N353" i="4" s="1"/>
  <c r="M6" i="3"/>
  <c r="M5" i="3"/>
  <c r="M5" i="2"/>
  <c r="M6" i="2"/>
</calcChain>
</file>

<file path=xl/sharedStrings.xml><?xml version="1.0" encoding="utf-8"?>
<sst xmlns="http://schemas.openxmlformats.org/spreadsheetml/2006/main" count="12032" uniqueCount="409">
  <si>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</si>
  <si>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</si>
  <si>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</si>
  <si>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</si>
  <si>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</si>
  <si>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</si>
  <si>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</si>
  <si>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</si>
  <si>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</si>
  <si>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</si>
  <si>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</si>
  <si>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</si>
  <si>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</si>
  <si>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</si>
  <si>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</si>
  <si>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</si>
  <si>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</si>
  <si>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</si>
  <si>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</si>
  <si>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</si>
  <si>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</si>
  <si>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</si>
  <si>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</si>
  <si>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</si>
  <si>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</si>
  <si>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</si>
  <si>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</si>
  <si>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</si>
  <si>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</si>
  <si>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</si>
  <si>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</si>
  <si>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</si>
  <si>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</si>
  <si>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</si>
  <si>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</si>
  <si>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</si>
  <si>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</si>
  <si>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</si>
  <si>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</si>
  <si>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</si>
  <si>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</si>
  <si>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</si>
  <si>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</si>
  <si>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</si>
  <si>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</si>
  <si>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</si>
  <si>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</si>
  <si>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</si>
  <si>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</si>
  <si>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</si>
  <si>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</si>
  <si>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</si>
  <si>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</si>
  <si>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</si>
  <si>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</si>
  <si>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</si>
  <si>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</si>
  <si>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</si>
  <si>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</si>
  <si>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</si>
  <si>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</si>
  <si>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</si>
  <si>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</si>
  <si>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</si>
  <si>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</si>
  <si>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</si>
  <si>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</si>
  <si>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</si>
  <si>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</si>
  <si>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</si>
  <si>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</si>
  <si>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</si>
  <si>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</si>
  <si>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</si>
  <si>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</si>
  <si>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</si>
  <si>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</si>
  <si>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</si>
  <si>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</si>
  <si>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</si>
  <si>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</si>
  <si>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</si>
  <si>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</si>
  <si>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</si>
  <si>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</si>
  <si>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</si>
  <si>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</si>
  <si>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</si>
  <si>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</si>
  <si>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</si>
  <si>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</si>
  <si>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</si>
  <si>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</si>
  <si>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</si>
  <si>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</si>
  <si>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</si>
  <si>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</si>
  <si>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</si>
  <si>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</si>
  <si>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</si>
  <si>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</si>
  <si>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</si>
  <si>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</si>
  <si>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</si>
  <si>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</si>
  <si>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</si>
  <si>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</si>
  <si>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</si>
  <si>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</si>
  <si>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</si>
  <si>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</si>
  <si>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</si>
  <si>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</si>
  <si>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</si>
  <si>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</si>
  <si>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</si>
  <si>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</si>
  <si>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</si>
  <si>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</si>
  <si>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</si>
  <si>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</si>
  <si>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</si>
  <si>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</si>
  <si>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</si>
  <si>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</si>
  <si>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</si>
  <si>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</si>
  <si>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</si>
  <si>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</si>
  <si>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</si>
  <si>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</si>
  <si>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</si>
  <si>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</si>
  <si>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</si>
  <si>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</si>
  <si>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</si>
  <si>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</si>
  <si>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</si>
  <si>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</si>
  <si>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</si>
  <si>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</si>
  <si>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</si>
  <si>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</si>
  <si>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</si>
  <si>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</si>
  <si>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</si>
  <si>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</si>
  <si>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</si>
  <si>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</si>
  <si>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</si>
  <si>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</si>
  <si>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</si>
  <si>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</si>
  <si>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</si>
  <si>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</si>
  <si>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</si>
  <si>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</si>
  <si>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</si>
  <si>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</si>
  <si>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</si>
  <si>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</si>
  <si>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</si>
  <si>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</si>
  <si>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</si>
  <si>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</si>
  <si>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</si>
  <si>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</si>
  <si>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</si>
  <si>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</si>
  <si>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</si>
  <si>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</si>
  <si>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</si>
  <si>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</si>
  <si>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</si>
  <si>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</si>
  <si>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</si>
  <si>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</si>
  <si>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</si>
  <si>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</si>
  <si>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</si>
  <si>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</si>
  <si>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</si>
  <si>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</si>
  <si>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</si>
  <si>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</si>
  <si>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</si>
  <si>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</si>
  <si>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</si>
  <si>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</si>
  <si>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</si>
  <si>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</si>
  <si>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</si>
  <si>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</si>
  <si>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</si>
  <si>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</si>
  <si>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</si>
  <si>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</si>
  <si>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</si>
  <si>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</si>
  <si>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</si>
  <si>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</si>
  <si>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</si>
  <si>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</si>
  <si>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</si>
  <si>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</si>
  <si>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</si>
  <si>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</si>
  <si>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</si>
  <si>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</si>
  <si>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</si>
  <si>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</si>
  <si>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</si>
  <si>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</si>
  <si>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</si>
  <si>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</si>
  <si>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</si>
  <si>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</si>
  <si>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</si>
  <si>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</si>
  <si>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</si>
  <si>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</si>
  <si>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</si>
  <si>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</si>
  <si>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</si>
  <si>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</si>
  <si>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</si>
  <si>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</si>
  <si>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</si>
  <si>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</si>
  <si>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</si>
  <si>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</si>
  <si>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</si>
  <si>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</si>
  <si>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</si>
  <si>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</si>
  <si>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</si>
  <si>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</si>
  <si>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</si>
  <si>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</si>
  <si>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</si>
  <si>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</si>
  <si>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</si>
  <si>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</si>
  <si>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</si>
  <si>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</si>
  <si>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</si>
  <si>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</si>
  <si>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</si>
  <si>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</si>
  <si>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</si>
  <si>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</si>
  <si>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</si>
  <si>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</si>
  <si>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</si>
  <si>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</si>
  <si>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</si>
  <si>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</si>
  <si>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</si>
  <si>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</si>
  <si>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</si>
  <si>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</si>
  <si>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</si>
  <si>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</si>
  <si>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</si>
  <si>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</si>
  <si>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</si>
  <si>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</si>
  <si>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</si>
  <si>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</si>
  <si>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</si>
  <si>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</si>
  <si>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</si>
  <si>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</si>
  <si>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</si>
  <si>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</si>
  <si>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</si>
  <si>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</si>
  <si>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</si>
  <si>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</si>
  <si>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</si>
  <si>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</si>
  <si>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</si>
  <si>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</si>
  <si>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</si>
  <si>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</si>
  <si>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</si>
  <si>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</si>
  <si>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</si>
  <si>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</si>
  <si>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</si>
  <si>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</si>
  <si>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</si>
  <si>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</si>
  <si>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</si>
  <si>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</si>
  <si>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</si>
  <si>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</si>
  <si>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</si>
  <si>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</si>
  <si>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</si>
  <si>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</si>
  <si>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</si>
  <si>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</si>
  <si>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</si>
  <si>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</si>
  <si>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</si>
  <si>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</si>
  <si>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</si>
  <si>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</si>
  <si>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</si>
  <si>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</si>
  <si>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</si>
  <si>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</si>
  <si>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</si>
  <si>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</si>
  <si>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</si>
  <si>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</si>
  <si>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</si>
  <si>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</si>
  <si>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</si>
  <si>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</si>
  <si>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</si>
  <si>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</si>
  <si>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</si>
  <si>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</si>
  <si>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</si>
  <si>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</si>
  <si>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</si>
  <si>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</si>
  <si>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</si>
  <si>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</si>
  <si>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</si>
  <si>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</si>
  <si>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</si>
  <si>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</si>
  <si>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</si>
  <si>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</si>
  <si>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</si>
  <si>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</si>
  <si>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</si>
  <si>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</si>
  <si>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</si>
  <si>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</si>
  <si>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</si>
  <si>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</si>
  <si>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</si>
  <si>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</si>
  <si>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</si>
  <si>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</si>
  <si>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</si>
  <si>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</si>
  <si>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</si>
  <si>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</si>
  <si>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</si>
  <si>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</si>
  <si>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</si>
  <si>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</si>
  <si>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</si>
  <si>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</si>
  <si>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</si>
  <si>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</si>
  <si>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</si>
  <si>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</si>
  <si>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</si>
  <si>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</si>
  <si>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</si>
  <si>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</si>
  <si>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</si>
  <si>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</si>
  <si>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</si>
  <si>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</si>
  <si>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</si>
  <si>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</si>
  <si>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</si>
  <si>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</si>
  <si>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</si>
  <si>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</si>
  <si>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</si>
  <si>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</si>
  <si>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Question2. Use Copilot to fill missing values in the Region and Category columns.</t>
  </si>
  <si>
    <t>Ans.</t>
  </si>
  <si>
    <t>Question3.Fill missing numeric values in the Units Sold and Unit Price columns.</t>
  </si>
  <si>
    <t>Units sold</t>
  </si>
  <si>
    <t>Total Revenue</t>
  </si>
  <si>
    <t>Check</t>
  </si>
  <si>
    <t>check1</t>
  </si>
  <si>
    <t>Quetion4. Create a new calculated column Total Revenue.</t>
  </si>
  <si>
    <t>Question7. Create a pivot table summarizing total sales by category and region</t>
  </si>
  <si>
    <t>Row Labels</t>
  </si>
  <si>
    <t>Grand Total</t>
  </si>
  <si>
    <t>Column Labels</t>
  </si>
  <si>
    <t>Sum of Total Revenue</t>
  </si>
  <si>
    <t>Question6. Use Copilot to generate a summary chart of average profit by region.</t>
  </si>
  <si>
    <t>Profit</t>
  </si>
  <si>
    <t>Average of Profit</t>
  </si>
  <si>
    <t>Question8.Build a dashboard combining key KPIs and charts.</t>
  </si>
  <si>
    <t>Jan</t>
  </si>
  <si>
    <t>Feb</t>
  </si>
  <si>
    <t>Mar</t>
  </si>
  <si>
    <t>Apr</t>
  </si>
  <si>
    <t>May</t>
  </si>
  <si>
    <t>Jun</t>
  </si>
  <si>
    <t>Jul</t>
  </si>
  <si>
    <t>Aug</t>
  </si>
  <si>
    <t>Sep</t>
  </si>
  <si>
    <t>Oct</t>
  </si>
  <si>
    <t>Nov</t>
  </si>
  <si>
    <t>Dec</t>
  </si>
  <si>
    <t>Question1.Use Copilot to identify and summarize missing values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</si>
</sst>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1" tint="0.499984740745262"/>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22" fontId="0" fillId="0" borderId="3" xfId="0" applyNumberFormat="1" applyBorder="1" applyAlignment="1">
      <alignment horizontal="right" wrapText="1"/>
    </xf>
    <xf numFmtId="0" fontId="0" fillId="0" borderId="3" xfId="0" applyBorder="1" applyAlignment="1">
      <alignment horizontal="right" wrapText="1"/>
    </xf>
    <xf numFmtId="0" fontId="1" fillId="0" borderId="4" xfId="0" applyFont="1" applyBorder="1" applyAlignment="1">
      <alignment horizontal="center" vertical="top"/>
    </xf>
    <xf numFmtId="164" fontId="0" fillId="0" borderId="0" xfId="0" applyNumberFormat="1"/>
    <xf numFmtId="0" fontId="0" fillId="2" borderId="0" xfId="0" applyFill="1"/>
    <xf numFmtId="0" fontId="2" fillId="2" borderId="0" xfId="0" applyFont="1" applyFill="1" applyAlignment="1">
      <alignment vertical="center"/>
    </xf>
    <xf numFmtId="0" fontId="1" fillId="3" borderId="5" xfId="0" applyFont="1" applyFill="1" applyBorder="1" applyAlignment="1">
      <alignment horizontal="center" vertical="top"/>
    </xf>
    <xf numFmtId="0" fontId="0" fillId="4" borderId="0" xfId="0" applyFill="1"/>
    <xf numFmtId="0" fontId="2" fillId="5" borderId="0" xfId="0" applyFont="1" applyFill="1"/>
    <xf numFmtId="0" fontId="0" fillId="5" borderId="0" xfId="0" applyFill="1"/>
    <xf numFmtId="0" fontId="0" fillId="0" borderId="0" xfId="0" pivotButton="1"/>
    <xf numFmtId="0" fontId="0" fillId="0" borderId="0" xfId="0" applyAlignment="1">
      <alignment horizontal="left"/>
    </xf>
    <xf numFmtId="0" fontId="0" fillId="0" borderId="0" xfId="0" applyNumberFormat="1"/>
    <xf numFmtId="0" fontId="2" fillId="5" borderId="0" xfId="0" applyFont="1" applyFill="1" applyAlignment="1">
      <alignment vertical="center"/>
    </xf>
    <xf numFmtId="0" fontId="1" fillId="0" borderId="4" xfId="0" applyFont="1" applyFill="1" applyBorder="1" applyAlignment="1">
      <alignment horizontal="center" vertical="top"/>
    </xf>
    <xf numFmtId="0" fontId="2" fillId="2" borderId="0" xfId="0" applyFont="1"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copilot.xlsx]Question6.!PivotTable5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Question6.!$N$4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Question6.!$M$5:$M$9</c:f>
              <c:strCache>
                <c:ptCount val="4"/>
                <c:pt idx="0">
                  <c:v>East</c:v>
                </c:pt>
                <c:pt idx="1">
                  <c:v>North</c:v>
                </c:pt>
                <c:pt idx="2">
                  <c:v>South</c:v>
                </c:pt>
                <c:pt idx="3">
                  <c:v>West</c:v>
                </c:pt>
              </c:strCache>
            </c:strRef>
          </c:cat>
          <c:val>
            <c:numRef>
              <c:f>Question6.!$N$5:$N$9</c:f>
              <c:numCache>
                <c:formatCode>General</c:formatCode>
                <c:ptCount val="4"/>
                <c:pt idx="0">
                  <c:v>12529.932692307691</c:v>
                </c:pt>
                <c:pt idx="1">
                  <c:v>16801.892628205125</c:v>
                </c:pt>
                <c:pt idx="2">
                  <c:v>19200.89493333334</c:v>
                </c:pt>
                <c:pt idx="3">
                  <c:v>11258.939952830187</c:v>
                </c:pt>
              </c:numCache>
            </c:numRef>
          </c:val>
          <c:extLst>
            <c:ext xmlns:c16="http://schemas.microsoft.com/office/drawing/2014/chart" uri="{C3380CC4-5D6E-409C-BE32-E72D297353CC}">
              <c16:uniqueId val="{00000000-6BC3-44A9-A29F-4CD66D73E251}"/>
            </c:ext>
          </c:extLst>
        </c:ser>
        <c:dLbls>
          <c:dLblPos val="outEnd"/>
          <c:showLegendKey val="0"/>
          <c:showVal val="1"/>
          <c:showCatName val="0"/>
          <c:showSerName val="0"/>
          <c:showPercent val="0"/>
          <c:showBubbleSize val="0"/>
        </c:dLbls>
        <c:gapWidth val="219"/>
        <c:overlap val="-27"/>
        <c:axId val="1590396720"/>
        <c:axId val="1590397680"/>
      </c:barChart>
      <c:catAx>
        <c:axId val="159039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97680"/>
        <c:crosses val="autoZero"/>
        <c:auto val="1"/>
        <c:lblAlgn val="ctr"/>
        <c:lblOffset val="100"/>
        <c:noMultiLvlLbl val="0"/>
      </c:catAx>
      <c:valAx>
        <c:axId val="15903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9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FD-4FF9-A573-D31CE6FEA0D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FD-4FF9-A573-D31CE6FEA0D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FD-4FF9-A573-D31CE6FEA0D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BFD-4FF9-A573-D31CE6FEA0D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BFD-4FF9-A573-D31CE6FEA0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Beverages</c:v>
                </c:pt>
                <c:pt idx="1">
                  <c:v>Clothing</c:v>
                </c:pt>
                <c:pt idx="2">
                  <c:v>Electronics</c:v>
                </c:pt>
                <c:pt idx="3">
                  <c:v>Food</c:v>
                </c:pt>
                <c:pt idx="4">
                  <c:v>Furniture</c:v>
                </c:pt>
              </c:strCache>
            </c:strRef>
          </c:cat>
          <c:val>
            <c:numRef>
              <c:f>'Pivot Tables'!$E$4:$E$9</c:f>
              <c:numCache>
                <c:formatCode>General</c:formatCode>
                <c:ptCount val="5"/>
                <c:pt idx="0">
                  <c:v>5565110.2749999985</c:v>
                </c:pt>
                <c:pt idx="1">
                  <c:v>3847697.72</c:v>
                </c:pt>
                <c:pt idx="2">
                  <c:v>4520832.9249999989</c:v>
                </c:pt>
                <c:pt idx="3">
                  <c:v>4068110.9750000001</c:v>
                </c:pt>
                <c:pt idx="4">
                  <c:v>4454611.5550000006</c:v>
                </c:pt>
              </c:numCache>
            </c:numRef>
          </c:val>
          <c:extLst>
            <c:ext xmlns:c16="http://schemas.microsoft.com/office/drawing/2014/chart" uri="{C3380CC4-5D6E-409C-BE32-E72D297353CC}">
              <c16:uniqueId val="{0000000A-CBFD-4FF9-A573-D31CE6FEA0D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Tables!country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Country</a:t>
            </a:r>
          </a:p>
        </c:rich>
      </c:tx>
      <c:layout>
        <c:manualLayout>
          <c:xMode val="edge"/>
          <c:yMode val="edge"/>
          <c:x val="0.27436374922408441"/>
          <c:y val="3.9149888143176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40521829410881"/>
          <c:y val="0.29301555426377074"/>
          <c:w val="0.77200789845403406"/>
          <c:h val="0.58106669132801358"/>
        </c:manualLayout>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Australia</c:v>
                </c:pt>
                <c:pt idx="1">
                  <c:v>Germany</c:v>
                </c:pt>
                <c:pt idx="2">
                  <c:v>India</c:v>
                </c:pt>
                <c:pt idx="3">
                  <c:v>UK</c:v>
                </c:pt>
                <c:pt idx="4">
                  <c:v>USA</c:v>
                </c:pt>
              </c:strCache>
            </c:strRef>
          </c:cat>
          <c:val>
            <c:numRef>
              <c:f>'Pivot Tables'!$H$4:$H$9</c:f>
              <c:numCache>
                <c:formatCode>General</c:formatCode>
                <c:ptCount val="5"/>
                <c:pt idx="0">
                  <c:v>4030516.4699999997</c:v>
                </c:pt>
                <c:pt idx="1">
                  <c:v>3731049.0599999996</c:v>
                </c:pt>
                <c:pt idx="2">
                  <c:v>5622189.0100000016</c:v>
                </c:pt>
                <c:pt idx="3">
                  <c:v>4362562.59</c:v>
                </c:pt>
                <c:pt idx="4">
                  <c:v>4710046.3199999966</c:v>
                </c:pt>
              </c:numCache>
            </c:numRef>
          </c:val>
          <c:smooth val="0"/>
          <c:extLst>
            <c:ext xmlns:c16="http://schemas.microsoft.com/office/drawing/2014/chart" uri="{C3380CC4-5D6E-409C-BE32-E72D297353CC}">
              <c16:uniqueId val="{00000000-4C15-4247-B3DC-4C77D133CFAF}"/>
            </c:ext>
          </c:extLst>
        </c:ser>
        <c:dLbls>
          <c:dLblPos val="t"/>
          <c:showLegendKey val="0"/>
          <c:showVal val="1"/>
          <c:showCatName val="0"/>
          <c:showSerName val="0"/>
          <c:showPercent val="0"/>
          <c:showBubbleSize val="0"/>
        </c:dLbls>
        <c:smooth val="0"/>
        <c:axId val="168848912"/>
        <c:axId val="168850352"/>
      </c:lineChart>
      <c:catAx>
        <c:axId val="16884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0352"/>
        <c:crosses val="autoZero"/>
        <c:auto val="1"/>
        <c:lblAlgn val="ctr"/>
        <c:lblOffset val="100"/>
        <c:noMultiLvlLbl val="0"/>
      </c:catAx>
      <c:valAx>
        <c:axId val="16885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4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Tables!sales channel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Sales Channel</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Tables'!$J$4:$J$6</c:f>
              <c:strCache>
                <c:ptCount val="2"/>
                <c:pt idx="0">
                  <c:v>Offline</c:v>
                </c:pt>
                <c:pt idx="1">
                  <c:v>Online</c:v>
                </c:pt>
              </c:strCache>
            </c:strRef>
          </c:cat>
          <c:val>
            <c:numRef>
              <c:f>'Pivot Tables'!$K$4:$K$6</c:f>
              <c:numCache>
                <c:formatCode>General</c:formatCode>
                <c:ptCount val="2"/>
                <c:pt idx="0">
                  <c:v>10119159.790000001</c:v>
                </c:pt>
                <c:pt idx="1">
                  <c:v>12337203.660000006</c:v>
                </c:pt>
              </c:numCache>
            </c:numRef>
          </c:val>
          <c:extLst>
            <c:ext xmlns:c16="http://schemas.microsoft.com/office/drawing/2014/chart" uri="{C3380CC4-5D6E-409C-BE32-E72D297353CC}">
              <c16:uniqueId val="{00000000-D684-4A8E-9C74-5DCD5A4973AC}"/>
            </c:ext>
          </c:extLst>
        </c:ser>
        <c:dLbls>
          <c:showLegendKey val="0"/>
          <c:showVal val="0"/>
          <c:showCatName val="0"/>
          <c:showSerName val="0"/>
          <c:showPercent val="0"/>
          <c:showBubbleSize val="0"/>
        </c:dLbls>
        <c:gapWidth val="150"/>
        <c:shape val="box"/>
        <c:axId val="1759789104"/>
        <c:axId val="1759789584"/>
        <c:axId val="0"/>
      </c:bar3DChart>
      <c:catAx>
        <c:axId val="175978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584"/>
        <c:crosses val="autoZero"/>
        <c:auto val="1"/>
        <c:lblAlgn val="ctr"/>
        <c:lblOffset val="100"/>
        <c:noMultiLvlLbl val="0"/>
      </c:catAx>
      <c:valAx>
        <c:axId val="17597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Tables!months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General</c:formatCode>
                <c:ptCount val="12"/>
                <c:pt idx="0">
                  <c:v>2240001.81</c:v>
                </c:pt>
                <c:pt idx="1">
                  <c:v>1556270.2150000003</c:v>
                </c:pt>
                <c:pt idx="2">
                  <c:v>1664512.0449999997</c:v>
                </c:pt>
                <c:pt idx="3">
                  <c:v>1756432.4249999998</c:v>
                </c:pt>
                <c:pt idx="4">
                  <c:v>1969619.42</c:v>
                </c:pt>
                <c:pt idx="5">
                  <c:v>2763277.7600000012</c:v>
                </c:pt>
                <c:pt idx="6">
                  <c:v>2275978.7349999999</c:v>
                </c:pt>
                <c:pt idx="7">
                  <c:v>1700250.3849999998</c:v>
                </c:pt>
                <c:pt idx="8">
                  <c:v>2056605.2250000001</c:v>
                </c:pt>
                <c:pt idx="9">
                  <c:v>1748980.5649999999</c:v>
                </c:pt>
                <c:pt idx="10">
                  <c:v>1665417.1850000001</c:v>
                </c:pt>
                <c:pt idx="11">
                  <c:v>1059017.6800000002</c:v>
                </c:pt>
              </c:numCache>
            </c:numRef>
          </c:val>
          <c:smooth val="0"/>
          <c:extLst>
            <c:ext xmlns:c16="http://schemas.microsoft.com/office/drawing/2014/chart" uri="{C3380CC4-5D6E-409C-BE32-E72D297353CC}">
              <c16:uniqueId val="{00000000-5B76-4161-90DF-55103BE2D6C8}"/>
            </c:ext>
          </c:extLst>
        </c:ser>
        <c:dLbls>
          <c:showLegendKey val="0"/>
          <c:showVal val="0"/>
          <c:showCatName val="0"/>
          <c:showSerName val="0"/>
          <c:showPercent val="0"/>
          <c:showBubbleSize val="0"/>
        </c:dLbls>
        <c:smooth val="0"/>
        <c:axId val="1753911184"/>
        <c:axId val="1759787184"/>
      </c:lineChart>
      <c:catAx>
        <c:axId val="17539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7184"/>
        <c:crosses val="autoZero"/>
        <c:auto val="1"/>
        <c:lblAlgn val="ctr"/>
        <c:lblOffset val="100"/>
        <c:noMultiLvlLbl val="0"/>
      </c:catAx>
      <c:valAx>
        <c:axId val="175978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Tables!order priority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B3-4D8C-94C9-0F85EAAE8E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B3-4D8C-94C9-0F85EAAE8E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B3-4D8C-94C9-0F85EAAE8E7F}"/>
              </c:ext>
            </c:extLst>
          </c:dPt>
          <c:cat>
            <c:strRef>
              <c:f>'Pivot Tables'!$P$4:$P$7</c:f>
              <c:strCache>
                <c:ptCount val="3"/>
                <c:pt idx="0">
                  <c:v>High</c:v>
                </c:pt>
                <c:pt idx="1">
                  <c:v>Low</c:v>
                </c:pt>
                <c:pt idx="2">
                  <c:v>Medium</c:v>
                </c:pt>
              </c:strCache>
            </c:strRef>
          </c:cat>
          <c:val>
            <c:numRef>
              <c:f>'Pivot Tables'!$Q$4:$Q$7</c:f>
              <c:numCache>
                <c:formatCode>General</c:formatCode>
                <c:ptCount val="3"/>
                <c:pt idx="0">
                  <c:v>7434616.5200000005</c:v>
                </c:pt>
                <c:pt idx="1">
                  <c:v>6986225.9899999993</c:v>
                </c:pt>
                <c:pt idx="2">
                  <c:v>8035520.9399999958</c:v>
                </c:pt>
              </c:numCache>
            </c:numRef>
          </c:val>
          <c:extLst>
            <c:ext xmlns:c16="http://schemas.microsoft.com/office/drawing/2014/chart" uri="{C3380CC4-5D6E-409C-BE32-E72D297353CC}">
              <c16:uniqueId val="{00000006-E2B3-4D8C-94C9-0F85EAAE8E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17FE-43F2-A63F-4A8CFF3B8B6B}"/>
            </c:ext>
          </c:extLst>
        </c:ser>
        <c:dLbls>
          <c:dLblPos val="outEnd"/>
          <c:showLegendKey val="0"/>
          <c:showVal val="1"/>
          <c:showCatName val="0"/>
          <c:showSerName val="0"/>
          <c:showPercent val="0"/>
          <c:showBubbleSize val="0"/>
        </c:dLbls>
        <c:gapWidth val="182"/>
        <c:axId val="1635075904"/>
        <c:axId val="1635087904"/>
      </c:barChart>
      <c:catAx>
        <c:axId val="163507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7904"/>
        <c:crosses val="autoZero"/>
        <c:auto val="1"/>
        <c:lblAlgn val="ctr"/>
        <c:lblOffset val="100"/>
        <c:noMultiLvlLbl val="0"/>
      </c:catAx>
      <c:valAx>
        <c:axId val="1635087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E7-430D-8AE9-41D32AE5EB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E7-430D-8AE9-41D32AE5EB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E7-430D-8AE9-41D32AE5EB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E7-430D-8AE9-41D32AE5EB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D63C-4E7A-8C15-743F7764CE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804-42B1-BF2C-4E6B34FF35D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804-42B1-BF2C-4E6B34FF35D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804-42B1-BF2C-4E6B34FF35D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804-42B1-BF2C-4E6B34FF35D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804-42B1-BF2C-4E6B34FF35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Beverages</c:v>
                </c:pt>
                <c:pt idx="1">
                  <c:v>Clothing</c:v>
                </c:pt>
                <c:pt idx="2">
                  <c:v>Electronics</c:v>
                </c:pt>
                <c:pt idx="3">
                  <c:v>Food</c:v>
                </c:pt>
                <c:pt idx="4">
                  <c:v>Furniture</c:v>
                </c:pt>
              </c:strCache>
            </c:strRef>
          </c:cat>
          <c:val>
            <c:numRef>
              <c:f>'Pivot Tables'!$E$4:$E$9</c:f>
              <c:numCache>
                <c:formatCode>General</c:formatCode>
                <c:ptCount val="5"/>
                <c:pt idx="0">
                  <c:v>5565110.2749999985</c:v>
                </c:pt>
                <c:pt idx="1">
                  <c:v>3847697.72</c:v>
                </c:pt>
                <c:pt idx="2">
                  <c:v>4520832.9249999989</c:v>
                </c:pt>
                <c:pt idx="3">
                  <c:v>4068110.9750000001</c:v>
                </c:pt>
                <c:pt idx="4">
                  <c:v>4454611.5550000006</c:v>
                </c:pt>
              </c:numCache>
            </c:numRef>
          </c:val>
          <c:extLst>
            <c:ext xmlns:c16="http://schemas.microsoft.com/office/drawing/2014/chart" uri="{C3380CC4-5D6E-409C-BE32-E72D297353CC}">
              <c16:uniqueId val="{00000000-E0BB-4015-8437-846C8BC582C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Tables!country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none"/>
          </c:marker>
          <c:cat>
            <c:strRef>
              <c:f>'Pivot Tables'!$G$4:$G$9</c:f>
              <c:strCache>
                <c:ptCount val="5"/>
                <c:pt idx="0">
                  <c:v>Australia</c:v>
                </c:pt>
                <c:pt idx="1">
                  <c:v>Germany</c:v>
                </c:pt>
                <c:pt idx="2">
                  <c:v>India</c:v>
                </c:pt>
                <c:pt idx="3">
                  <c:v>UK</c:v>
                </c:pt>
                <c:pt idx="4">
                  <c:v>USA</c:v>
                </c:pt>
              </c:strCache>
            </c:strRef>
          </c:cat>
          <c:val>
            <c:numRef>
              <c:f>'Pivot Tables'!$H$4:$H$9</c:f>
              <c:numCache>
                <c:formatCode>General</c:formatCode>
                <c:ptCount val="5"/>
                <c:pt idx="0">
                  <c:v>4030516.4699999997</c:v>
                </c:pt>
                <c:pt idx="1">
                  <c:v>3731049.0599999996</c:v>
                </c:pt>
                <c:pt idx="2">
                  <c:v>5622189.0100000016</c:v>
                </c:pt>
                <c:pt idx="3">
                  <c:v>4362562.59</c:v>
                </c:pt>
                <c:pt idx="4">
                  <c:v>4710046.3199999966</c:v>
                </c:pt>
              </c:numCache>
            </c:numRef>
          </c:val>
          <c:smooth val="0"/>
          <c:extLst>
            <c:ext xmlns:c16="http://schemas.microsoft.com/office/drawing/2014/chart" uri="{C3380CC4-5D6E-409C-BE32-E72D297353CC}">
              <c16:uniqueId val="{00000000-D280-414A-A681-201368C760F7}"/>
            </c:ext>
          </c:extLst>
        </c:ser>
        <c:dLbls>
          <c:showLegendKey val="0"/>
          <c:showVal val="0"/>
          <c:showCatName val="0"/>
          <c:showSerName val="0"/>
          <c:showPercent val="0"/>
          <c:showBubbleSize val="0"/>
        </c:dLbls>
        <c:smooth val="0"/>
        <c:axId val="168848912"/>
        <c:axId val="168850352"/>
      </c:lineChart>
      <c:catAx>
        <c:axId val="16884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0352"/>
        <c:crosses val="autoZero"/>
        <c:auto val="1"/>
        <c:lblAlgn val="ctr"/>
        <c:lblOffset val="100"/>
        <c:noMultiLvlLbl val="0"/>
      </c:catAx>
      <c:valAx>
        <c:axId val="16885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4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Tables!sales channel</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Tables'!$J$4:$J$6</c:f>
              <c:strCache>
                <c:ptCount val="2"/>
                <c:pt idx="0">
                  <c:v>Offline</c:v>
                </c:pt>
                <c:pt idx="1">
                  <c:v>Online</c:v>
                </c:pt>
              </c:strCache>
            </c:strRef>
          </c:cat>
          <c:val>
            <c:numRef>
              <c:f>'Pivot Tables'!$K$4:$K$6</c:f>
              <c:numCache>
                <c:formatCode>General</c:formatCode>
                <c:ptCount val="2"/>
                <c:pt idx="0">
                  <c:v>10119159.790000001</c:v>
                </c:pt>
                <c:pt idx="1">
                  <c:v>12337203.660000006</c:v>
                </c:pt>
              </c:numCache>
            </c:numRef>
          </c:val>
          <c:extLst>
            <c:ext xmlns:c16="http://schemas.microsoft.com/office/drawing/2014/chart" uri="{C3380CC4-5D6E-409C-BE32-E72D297353CC}">
              <c16:uniqueId val="{00000000-8D6F-4CA9-B477-9B77FC47A52A}"/>
            </c:ext>
          </c:extLst>
        </c:ser>
        <c:dLbls>
          <c:showLegendKey val="0"/>
          <c:showVal val="0"/>
          <c:showCatName val="0"/>
          <c:showSerName val="0"/>
          <c:showPercent val="0"/>
          <c:showBubbleSize val="0"/>
        </c:dLbls>
        <c:gapWidth val="150"/>
        <c:shape val="box"/>
        <c:axId val="1759789104"/>
        <c:axId val="1759789584"/>
        <c:axId val="0"/>
      </c:bar3DChart>
      <c:catAx>
        <c:axId val="175978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584"/>
        <c:crosses val="autoZero"/>
        <c:auto val="1"/>
        <c:lblAlgn val="ctr"/>
        <c:lblOffset val="100"/>
        <c:noMultiLvlLbl val="0"/>
      </c:catAx>
      <c:valAx>
        <c:axId val="17597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Tables!months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General</c:formatCode>
                <c:ptCount val="12"/>
                <c:pt idx="0">
                  <c:v>2240001.81</c:v>
                </c:pt>
                <c:pt idx="1">
                  <c:v>1556270.2150000003</c:v>
                </c:pt>
                <c:pt idx="2">
                  <c:v>1664512.0449999997</c:v>
                </c:pt>
                <c:pt idx="3">
                  <c:v>1756432.4249999998</c:v>
                </c:pt>
                <c:pt idx="4">
                  <c:v>1969619.42</c:v>
                </c:pt>
                <c:pt idx="5">
                  <c:v>2763277.7600000012</c:v>
                </c:pt>
                <c:pt idx="6">
                  <c:v>2275978.7349999999</c:v>
                </c:pt>
                <c:pt idx="7">
                  <c:v>1700250.3849999998</c:v>
                </c:pt>
                <c:pt idx="8">
                  <c:v>2056605.2250000001</c:v>
                </c:pt>
                <c:pt idx="9">
                  <c:v>1748980.5649999999</c:v>
                </c:pt>
                <c:pt idx="10">
                  <c:v>1665417.1850000001</c:v>
                </c:pt>
                <c:pt idx="11">
                  <c:v>1059017.6800000002</c:v>
                </c:pt>
              </c:numCache>
            </c:numRef>
          </c:val>
          <c:smooth val="0"/>
          <c:extLst>
            <c:ext xmlns:c16="http://schemas.microsoft.com/office/drawing/2014/chart" uri="{C3380CC4-5D6E-409C-BE32-E72D297353CC}">
              <c16:uniqueId val="{00000000-D8EF-433E-92B5-9174EB46BA1B}"/>
            </c:ext>
          </c:extLst>
        </c:ser>
        <c:dLbls>
          <c:showLegendKey val="0"/>
          <c:showVal val="0"/>
          <c:showCatName val="0"/>
          <c:showSerName val="0"/>
          <c:showPercent val="0"/>
          <c:showBubbleSize val="0"/>
        </c:dLbls>
        <c:smooth val="0"/>
        <c:axId val="1753911184"/>
        <c:axId val="1759787184"/>
      </c:lineChart>
      <c:catAx>
        <c:axId val="17539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7184"/>
        <c:crosses val="autoZero"/>
        <c:auto val="1"/>
        <c:lblAlgn val="ctr"/>
        <c:lblOffset val="100"/>
        <c:noMultiLvlLbl val="0"/>
      </c:catAx>
      <c:valAx>
        <c:axId val="175978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Tables!order priority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4F-44FF-9774-F14E727046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4F-44FF-9774-F14E727046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4F-44FF-9774-F14E727046AC}"/>
              </c:ext>
            </c:extLst>
          </c:dPt>
          <c:cat>
            <c:strRef>
              <c:f>'Pivot Tables'!$P$4:$P$7</c:f>
              <c:strCache>
                <c:ptCount val="3"/>
                <c:pt idx="0">
                  <c:v>High</c:v>
                </c:pt>
                <c:pt idx="1">
                  <c:v>Low</c:v>
                </c:pt>
                <c:pt idx="2">
                  <c:v>Medium</c:v>
                </c:pt>
              </c:strCache>
            </c:strRef>
          </c:cat>
          <c:val>
            <c:numRef>
              <c:f>'Pivot Tables'!$Q$4:$Q$7</c:f>
              <c:numCache>
                <c:formatCode>General</c:formatCode>
                <c:ptCount val="3"/>
                <c:pt idx="0">
                  <c:v>7434616.5200000005</c:v>
                </c:pt>
                <c:pt idx="1">
                  <c:v>6986225.9899999993</c:v>
                </c:pt>
                <c:pt idx="2">
                  <c:v>8035520.9399999958</c:v>
                </c:pt>
              </c:numCache>
            </c:numRef>
          </c:val>
          <c:extLst>
            <c:ext xmlns:c16="http://schemas.microsoft.com/office/drawing/2014/chart" uri="{C3380CC4-5D6E-409C-BE32-E72D297353CC}">
              <c16:uniqueId val="{00000000-7E81-4389-88E5-F3A8AFAF65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C045-4DEB-83D6-30554E45A781}"/>
            </c:ext>
          </c:extLst>
        </c:ser>
        <c:dLbls>
          <c:showLegendKey val="0"/>
          <c:showVal val="0"/>
          <c:showCatName val="0"/>
          <c:showSerName val="0"/>
          <c:showPercent val="0"/>
          <c:showBubbleSize val="0"/>
        </c:dLbls>
        <c:gapWidth val="182"/>
        <c:axId val="1635075904"/>
        <c:axId val="1635087904"/>
      </c:barChart>
      <c:catAx>
        <c:axId val="163507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7904"/>
        <c:crosses val="autoZero"/>
        <c:auto val="1"/>
        <c:lblAlgn val="ctr"/>
        <c:lblOffset val="100"/>
        <c:noMultiLvlLbl val="0"/>
      </c:catAx>
      <c:valAx>
        <c:axId val="163508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3</xdr:row>
      <xdr:rowOff>22860</xdr:rowOff>
    </xdr:from>
    <xdr:to>
      <xdr:col>8</xdr:col>
      <xdr:colOff>578957</xdr:colOff>
      <xdr:row>28</xdr:row>
      <xdr:rowOff>157149</xdr:rowOff>
    </xdr:to>
    <xdr:pic>
      <xdr:nvPicPr>
        <xdr:cNvPr id="3" name="Picture 2">
          <a:extLst>
            <a:ext uri="{FF2B5EF4-FFF2-40B4-BE49-F238E27FC236}">
              <a16:creationId xmlns:a16="http://schemas.microsoft.com/office/drawing/2014/main" id="{276812DA-EC74-896A-D707-CB41BCF8EA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617220"/>
          <a:ext cx="5432897" cy="4706289"/>
        </a:xfrm>
        <a:prstGeom prst="rect">
          <a:avLst/>
        </a:prstGeom>
      </xdr:spPr>
    </xdr:pic>
    <xdr:clientData/>
  </xdr:twoCellAnchor>
  <xdr:twoCellAnchor editAs="oneCell">
    <xdr:from>
      <xdr:col>9</xdr:col>
      <xdr:colOff>111900</xdr:colOff>
      <xdr:row>3</xdr:row>
      <xdr:rowOff>5220</xdr:rowOff>
    </xdr:from>
    <xdr:to>
      <xdr:col>21</xdr:col>
      <xdr:colOff>569100</xdr:colOff>
      <xdr:row>17</xdr:row>
      <xdr:rowOff>83237</xdr:rowOff>
    </xdr:to>
    <xdr:pic>
      <xdr:nvPicPr>
        <xdr:cNvPr id="5" name="Picture 4">
          <a:extLst>
            <a:ext uri="{FF2B5EF4-FFF2-40B4-BE49-F238E27FC236}">
              <a16:creationId xmlns:a16="http://schemas.microsoft.com/office/drawing/2014/main" id="{AA12818A-E912-398C-BD7B-A0F1D04E7A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98300" y="599580"/>
          <a:ext cx="7772400" cy="2638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601980</xdr:colOff>
      <xdr:row>10</xdr:row>
      <xdr:rowOff>179070</xdr:rowOff>
    </xdr:from>
    <xdr:to>
      <xdr:col>18</xdr:col>
      <xdr:colOff>213360</xdr:colOff>
      <xdr:row>25</xdr:row>
      <xdr:rowOff>179070</xdr:rowOff>
    </xdr:to>
    <xdr:graphicFrame macro="">
      <xdr:nvGraphicFramePr>
        <xdr:cNvPr id="2" name="Chart 1">
          <a:extLst>
            <a:ext uri="{FF2B5EF4-FFF2-40B4-BE49-F238E27FC236}">
              <a16:creationId xmlns:a16="http://schemas.microsoft.com/office/drawing/2014/main" id="{564AF83B-3E5F-2C9D-64FA-FFF1B577B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449580</xdr:colOff>
      <xdr:row>4</xdr:row>
      <xdr:rowOff>152400</xdr:rowOff>
    </xdr:from>
    <xdr:to>
      <xdr:col>12</xdr:col>
      <xdr:colOff>518160</xdr:colOff>
      <xdr:row>17</xdr:row>
      <xdr:rowOff>68580</xdr:rowOff>
    </xdr:to>
    <xdr:graphicFrame macro="">
      <xdr:nvGraphicFramePr>
        <xdr:cNvPr id="3" name="Chart 2">
          <a:extLst>
            <a:ext uri="{FF2B5EF4-FFF2-40B4-BE49-F238E27FC236}">
              <a16:creationId xmlns:a16="http://schemas.microsoft.com/office/drawing/2014/main" id="{C0C0A44A-6ED8-4BF5-9984-CD9AEECA0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68580</xdr:rowOff>
    </xdr:from>
    <xdr:to>
      <xdr:col>6</xdr:col>
      <xdr:colOff>449580</xdr:colOff>
      <xdr:row>29</xdr:row>
      <xdr:rowOff>144780</xdr:rowOff>
    </xdr:to>
    <xdr:graphicFrame macro="">
      <xdr:nvGraphicFramePr>
        <xdr:cNvPr id="4" name="Chart 3">
          <a:extLst>
            <a:ext uri="{FF2B5EF4-FFF2-40B4-BE49-F238E27FC236}">
              <a16:creationId xmlns:a16="http://schemas.microsoft.com/office/drawing/2014/main" id="{705E576D-73E8-4225-8BF6-71D6D13CB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434340</xdr:colOff>
      <xdr:row>17</xdr:row>
      <xdr:rowOff>60960</xdr:rowOff>
    </xdr:from>
    <xdr:to>
      <xdr:col>12</xdr:col>
      <xdr:colOff>525780</xdr:colOff>
      <xdr:row>29</xdr:row>
      <xdr:rowOff>160020</xdr:rowOff>
    </xdr:to>
    <xdr:graphicFrame macro="">
      <xdr:nvGraphicFramePr>
        <xdr:cNvPr id="5" name="Chart 4">
          <a:extLst>
            <a:ext uri="{FF2B5EF4-FFF2-40B4-BE49-F238E27FC236}">
              <a16:creationId xmlns:a16="http://schemas.microsoft.com/office/drawing/2014/main" id="{99563607-86E5-4AF7-B2DD-7B4CF1F1D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533400</xdr:colOff>
      <xdr:row>4</xdr:row>
      <xdr:rowOff>152400</xdr:rowOff>
    </xdr:from>
    <xdr:to>
      <xdr:col>19</xdr:col>
      <xdr:colOff>160020</xdr:colOff>
      <xdr:row>17</xdr:row>
      <xdr:rowOff>60960</xdr:rowOff>
    </xdr:to>
    <xdr:graphicFrame macro="">
      <xdr:nvGraphicFramePr>
        <xdr:cNvPr id="6" name="Chart 5">
          <a:extLst>
            <a:ext uri="{FF2B5EF4-FFF2-40B4-BE49-F238E27FC236}">
              <a16:creationId xmlns:a16="http://schemas.microsoft.com/office/drawing/2014/main" id="{6FA75B72-B4C2-4A4C-9D1B-CB5F889CC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518160</xdr:colOff>
      <xdr:row>17</xdr:row>
      <xdr:rowOff>83820</xdr:rowOff>
    </xdr:from>
    <xdr:to>
      <xdr:col>19</xdr:col>
      <xdr:colOff>175260</xdr:colOff>
      <xdr:row>29</xdr:row>
      <xdr:rowOff>152400</xdr:rowOff>
    </xdr:to>
    <xdr:graphicFrame macro="">
      <xdr:nvGraphicFramePr>
        <xdr:cNvPr id="7" name="Chart 6">
          <a:extLst>
            <a:ext uri="{FF2B5EF4-FFF2-40B4-BE49-F238E27FC236}">
              <a16:creationId xmlns:a16="http://schemas.microsoft.com/office/drawing/2014/main" id="{5C971EA2-560F-48B1-A5E3-127EACA7B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xdr:colOff>
      <xdr:row>4</xdr:row>
      <xdr:rowOff>144780</xdr:rowOff>
    </xdr:from>
    <xdr:to>
      <xdr:col>6</xdr:col>
      <xdr:colOff>434340</xdr:colOff>
      <xdr:row>17</xdr:row>
      <xdr:rowOff>53340</xdr:rowOff>
    </xdr:to>
    <xdr:graphicFrame macro="">
      <xdr:nvGraphicFramePr>
        <xdr:cNvPr id="8" name="Chart 7">
          <a:extLst>
            <a:ext uri="{FF2B5EF4-FFF2-40B4-BE49-F238E27FC236}">
              <a16:creationId xmlns:a16="http://schemas.microsoft.com/office/drawing/2014/main" id="{687526E0-C899-41DD-8CE3-D7E81B600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190500</xdr:colOff>
      <xdr:row>4</xdr:row>
      <xdr:rowOff>129541</xdr:rowOff>
    </xdr:from>
    <xdr:to>
      <xdr:col>23</xdr:col>
      <xdr:colOff>297180</xdr:colOff>
      <xdr:row>12</xdr:row>
      <xdr:rowOff>30480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048E1DD6-8209-4313-BC05-79A1188CBE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772900" y="861061"/>
              <a:ext cx="254508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21</xdr:row>
      <xdr:rowOff>15241</xdr:rowOff>
    </xdr:from>
    <xdr:to>
      <xdr:col>23</xdr:col>
      <xdr:colOff>289560</xdr:colOff>
      <xdr:row>29</xdr:row>
      <xdr:rowOff>129540</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531868F5-89C4-4AC7-8FA3-B7EDBBA9E47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772900" y="3855721"/>
              <a:ext cx="253746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12</xdr:row>
      <xdr:rowOff>45721</xdr:rowOff>
    </xdr:from>
    <xdr:to>
      <xdr:col>23</xdr:col>
      <xdr:colOff>289560</xdr:colOff>
      <xdr:row>21</xdr:row>
      <xdr:rowOff>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645D40EC-A50A-46E1-9BD3-CD5560EA4E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772900" y="2240281"/>
              <a:ext cx="253746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0</xdr:row>
      <xdr:rowOff>15240</xdr:rowOff>
    </xdr:from>
    <xdr:to>
      <xdr:col>23</xdr:col>
      <xdr:colOff>297180</xdr:colOff>
      <xdr:row>4</xdr:row>
      <xdr:rowOff>137160</xdr:rowOff>
    </xdr:to>
    <mc:AlternateContent xmlns:mc="http://schemas.openxmlformats.org/markup-compatibility/2006" xmlns:a14="http://schemas.microsoft.com/office/drawing/2010/main">
      <mc:Choice Requires="a14">
        <xdr:graphicFrame macro="">
          <xdr:nvGraphicFramePr>
            <xdr:cNvPr id="12" name="Months (Order Date) 1">
              <a:extLst>
                <a:ext uri="{FF2B5EF4-FFF2-40B4-BE49-F238E27FC236}">
                  <a16:creationId xmlns:a16="http://schemas.microsoft.com/office/drawing/2014/main" id="{26553D0D-18F7-4C8C-A15A-AAE53429DFCE}"/>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30480" y="15240"/>
              <a:ext cx="142875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472440</xdr:colOff>
      <xdr:row>11</xdr:row>
      <xdr:rowOff>87630</xdr:rowOff>
    </xdr:from>
    <xdr:to>
      <xdr:col>5</xdr:col>
      <xdr:colOff>15240</xdr:colOff>
      <xdr:row>26</xdr:row>
      <xdr:rowOff>87630</xdr:rowOff>
    </xdr:to>
    <xdr:graphicFrame macro="">
      <xdr:nvGraphicFramePr>
        <xdr:cNvPr id="2" name="Chart 1">
          <a:extLst>
            <a:ext uri="{FF2B5EF4-FFF2-40B4-BE49-F238E27FC236}">
              <a16:creationId xmlns:a16="http://schemas.microsoft.com/office/drawing/2014/main" id="{91D49172-AD63-8F35-16BF-56AB6D34B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11</xdr:row>
      <xdr:rowOff>53340</xdr:rowOff>
    </xdr:from>
    <xdr:to>
      <xdr:col>10</xdr:col>
      <xdr:colOff>449580</xdr:colOff>
      <xdr:row>26</xdr:row>
      <xdr:rowOff>53340</xdr:rowOff>
    </xdr:to>
    <xdr:graphicFrame macro="">
      <xdr:nvGraphicFramePr>
        <xdr:cNvPr id="3" name="Chart 2">
          <a:extLst>
            <a:ext uri="{FF2B5EF4-FFF2-40B4-BE49-F238E27FC236}">
              <a16:creationId xmlns:a16="http://schemas.microsoft.com/office/drawing/2014/main" id="{4018805C-8A4C-65AB-6911-C2C4F0000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556260</xdr:colOff>
      <xdr:row>16</xdr:row>
      <xdr:rowOff>129540</xdr:rowOff>
    </xdr:from>
    <xdr:to>
      <xdr:col>15</xdr:col>
      <xdr:colOff>350520</xdr:colOff>
      <xdr:row>31</xdr:row>
      <xdr:rowOff>129540</xdr:rowOff>
    </xdr:to>
    <xdr:graphicFrame macro="">
      <xdr:nvGraphicFramePr>
        <xdr:cNvPr id="5" name="Chart 4">
          <a:extLst>
            <a:ext uri="{FF2B5EF4-FFF2-40B4-BE49-F238E27FC236}">
              <a16:creationId xmlns:a16="http://schemas.microsoft.com/office/drawing/2014/main" id="{B0FA8C12-DCE5-508A-A084-CCAE1B757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365760</xdr:colOff>
      <xdr:row>12</xdr:row>
      <xdr:rowOff>45720</xdr:rowOff>
    </xdr:from>
    <xdr:to>
      <xdr:col>10</xdr:col>
      <xdr:colOff>647700</xdr:colOff>
      <xdr:row>27</xdr:row>
      <xdr:rowOff>45720</xdr:rowOff>
    </xdr:to>
    <xdr:graphicFrame macro="">
      <xdr:nvGraphicFramePr>
        <xdr:cNvPr id="6" name="Chart 5">
          <a:extLst>
            <a:ext uri="{FF2B5EF4-FFF2-40B4-BE49-F238E27FC236}">
              <a16:creationId xmlns:a16="http://schemas.microsoft.com/office/drawing/2014/main" id="{46CB5252-2ABD-C684-3570-91F9F61E1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754380</xdr:colOff>
      <xdr:row>9</xdr:row>
      <xdr:rowOff>129540</xdr:rowOff>
    </xdr:from>
    <xdr:to>
      <xdr:col>17</xdr:col>
      <xdr:colOff>297180</xdr:colOff>
      <xdr:row>24</xdr:row>
      <xdr:rowOff>129540</xdr:rowOff>
    </xdr:to>
    <xdr:graphicFrame macro="">
      <xdr:nvGraphicFramePr>
        <xdr:cNvPr id="7" name="Chart 6">
          <a:extLst>
            <a:ext uri="{FF2B5EF4-FFF2-40B4-BE49-F238E27FC236}">
              <a16:creationId xmlns:a16="http://schemas.microsoft.com/office/drawing/2014/main" id="{C5DE701D-4CEB-D0ED-488B-91F4F6CC0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510540</xdr:colOff>
      <xdr:row>7</xdr:row>
      <xdr:rowOff>87630</xdr:rowOff>
    </xdr:from>
    <xdr:to>
      <xdr:col>18</xdr:col>
      <xdr:colOff>304800</xdr:colOff>
      <xdr:row>22</xdr:row>
      <xdr:rowOff>87630</xdr:rowOff>
    </xdr:to>
    <xdr:graphicFrame macro="">
      <xdr:nvGraphicFramePr>
        <xdr:cNvPr id="8" name="Chart 7">
          <a:extLst>
            <a:ext uri="{FF2B5EF4-FFF2-40B4-BE49-F238E27FC236}">
              <a16:creationId xmlns:a16="http://schemas.microsoft.com/office/drawing/2014/main" id="{4322988B-1A03-15D3-8DB1-CBDBC3D86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1120140</xdr:colOff>
      <xdr:row>7</xdr:row>
      <xdr:rowOff>87630</xdr:rowOff>
    </xdr:from>
    <xdr:to>
      <xdr:col>10</xdr:col>
      <xdr:colOff>53340</xdr:colOff>
      <xdr:row>22</xdr:row>
      <xdr:rowOff>87630</xdr:rowOff>
    </xdr:to>
    <xdr:graphicFrame macro="">
      <xdr:nvGraphicFramePr>
        <xdr:cNvPr id="9" name="Chart 8">
          <a:extLst>
            <a:ext uri="{FF2B5EF4-FFF2-40B4-BE49-F238E27FC236}">
              <a16:creationId xmlns:a16="http://schemas.microsoft.com/office/drawing/2014/main" id="{2AA5ACA6-3401-FEA7-F57F-233D956F5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548640</xdr:colOff>
      <xdr:row>4</xdr:row>
      <xdr:rowOff>53340</xdr:rowOff>
    </xdr:from>
    <xdr:to>
      <xdr:col>7</xdr:col>
      <xdr:colOff>844150</xdr:colOff>
      <xdr:row>17</xdr:row>
      <xdr:rowOff>142875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F15933E6-68A7-C4CC-D1FF-1FA7F95CE6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84311" y="804902"/>
              <a:ext cx="1819510"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6</xdr:row>
      <xdr:rowOff>167640</xdr:rowOff>
    </xdr:from>
    <xdr:to>
      <xdr:col>7</xdr:col>
      <xdr:colOff>1322018</xdr:colOff>
      <xdr:row>20</xdr:row>
      <xdr:rowOff>74295</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01704B7E-6A42-FE4E-A9A1-268A9A408D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60196" y="1294982"/>
              <a:ext cx="1821493" cy="2537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9</xdr:row>
      <xdr:rowOff>99060</xdr:rowOff>
    </xdr:from>
    <xdr:to>
      <xdr:col>8</xdr:col>
      <xdr:colOff>518160</xdr:colOff>
      <xdr:row>23</xdr:row>
      <xdr:rowOff>5715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A860A282-40AE-04DC-4FDF-E2477192C4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97771" y="1790074"/>
              <a:ext cx="1826608" cy="2537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518160</xdr:colOff>
      <xdr:row>12</xdr:row>
      <xdr:rowOff>30480</xdr:rowOff>
    </xdr:from>
    <xdr:to>
      <xdr:col>9</xdr:col>
      <xdr:colOff>388619</xdr:colOff>
      <xdr:row>25</xdr:row>
      <xdr:rowOff>120015</xdr:rowOff>
    </xdr:to>
    <mc:AlternateContent xmlns:mc="http://schemas.openxmlformats.org/markup-compatibility/2006" xmlns:a14="http://schemas.microsoft.com/office/drawing/2010/main">
      <mc:Choice Requires="a14">
        <xdr:graphicFrame macro="">
          <xdr:nvGraphicFramePr>
            <xdr:cNvPr id="13" name="Months (Order Date)">
              <a:extLst>
                <a:ext uri="{FF2B5EF4-FFF2-40B4-BE49-F238E27FC236}">
                  <a16:creationId xmlns:a16="http://schemas.microsoft.com/office/drawing/2014/main" id="{2F020802-0DC7-7EBE-2861-40F04D174A6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177831" y="2285165"/>
              <a:ext cx="1822432"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8.804567939813" createdVersion="8" refreshedVersion="8" minRefreshableVersion="3" recordCount="350" xr:uid="{494C2216-A176-4D04-8C81-75C69045EA71}">
  <cacheSource type="worksheet">
    <worksheetSource ref="A3:K353" sheet="Question4."/>
  </cacheSource>
  <cacheFields count="11">
    <cacheField name="Order ID" numFmtId="0">
      <sharedItems/>
    </cacheField>
    <cacheField name="Region" numFmtId="0">
      <sharedItems count="4">
        <s v="East"/>
        <s v="West"/>
        <s v="North"/>
        <s v="South"/>
      </sharedItems>
    </cacheField>
    <cacheField name="Country" numFmtId="0">
      <sharedItems/>
    </cacheField>
    <cacheField name="Category" numFmtId="0">
      <sharedItems count="5">
        <s v="Beverages"/>
        <s v="Food"/>
        <s v="Clothing"/>
        <s v="Furniture"/>
        <s v="Electronics"/>
      </sharedItems>
    </cacheField>
    <cacheField name="Sales Channel" numFmtId="0">
      <sharedItems/>
    </cacheField>
    <cacheField name="Order Priority" numFmtId="0">
      <sharedItems/>
    </cacheField>
    <cacheField name="Order Date" numFmtId="164">
      <sharedItems containsSemiMixedTypes="0" containsNonDate="0" containsDate="1" containsString="0" minDate="2023-01-01T00:00:00" maxDate="2023-12-17T00:00:00"/>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8.816730324077" createdVersion="8" refreshedVersion="8" minRefreshableVersion="3" recordCount="350" xr:uid="{FBC88F34-83DE-4BFE-B6F2-54A660B9BE4F}">
  <cacheSource type="worksheet">
    <worksheetSource ref="A4:K354" sheet="Question6."/>
  </cacheSource>
  <cacheFields count="11">
    <cacheField name="Region" numFmtId="0">
      <sharedItems count="4">
        <s v="East"/>
        <s v="West"/>
        <s v="North"/>
        <s v="South"/>
      </sharedItems>
    </cacheField>
    <cacheField name="Country" numFmtId="0">
      <sharedItems/>
    </cacheField>
    <cacheField name="Category" numFmtId="0">
      <sharedItems/>
    </cacheField>
    <cacheField name="Sales Channel" numFmtId="0">
      <sharedItems/>
    </cacheField>
    <cacheField name="Order Priority" numFmtId="0">
      <sharedItems/>
    </cacheField>
    <cacheField name="Order Date" numFmtId="164">
      <sharedItems containsSemiMixedTypes="0" containsNonDate="0" containsDate="1" containsString="0" minDate="2023-01-01T00:00:00" maxDate="2023-12-17T00:00:00"/>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8.844315393515" createdVersion="8" refreshedVersion="8" minRefreshableVersion="3" recordCount="350" xr:uid="{8BB1F6EF-16C1-4851-9B9C-31B9ED67CE2B}">
  <cacheSource type="worksheet">
    <worksheetSource ref="A3:K353" sheet="Question8."/>
  </cacheSource>
  <cacheFields count="13">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sharedItems count="2">
        <s v="Online"/>
        <s v="Offline"/>
      </sharedItems>
    </cacheField>
    <cacheField name="Order Priority" numFmtId="0">
      <sharedItems count="3">
        <s v="High"/>
        <s v="Low"/>
        <s v="Medium"/>
      </sharedItems>
    </cacheField>
    <cacheField name="Order Date" numFmtId="164">
      <sharedItems containsSemiMixedTypes="0" containsNonDate="0" containsDate="1" containsString="0" minDate="2023-01-01T00:00:00" maxDate="2023-12-17T00:00:00" count="35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sharedItems>
      <fieldGroup par="12"/>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 name="Days (Order Date)" numFmtId="0" databaseField="0">
      <fieldGroup base="5">
        <rangePr groupBy="days" startDate="2023-01-01T00:00:00" endDate="2023-12-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2-2023"/>
        </groupItems>
      </fieldGroup>
    </cacheField>
    <cacheField name="Months (Order Date)" numFmtId="0" databaseField="0">
      <fieldGroup base="5">
        <rangePr groupBy="months" startDate="2023-01-01T00:00:00" endDate="2023-12-17T00:00:00"/>
        <groupItems count="14">
          <s v="&lt;01-01-2023"/>
          <s v="Jan"/>
          <s v="Feb"/>
          <s v="Mar"/>
          <s v="Apr"/>
          <s v="May"/>
          <s v="Jun"/>
          <s v="Jul"/>
          <s v="Aug"/>
          <s v="Sep"/>
          <s v="Oct"/>
          <s v="Nov"/>
          <s v="Dec"/>
          <s v="&gt;17-12-2023"/>
        </groupItems>
      </fieldGroup>
    </cacheField>
  </cacheFields>
  <extLst>
    <ext xmlns:x14="http://schemas.microsoft.com/office/spreadsheetml/2009/9/main" uri="{725AE2AE-9491-48be-B2B4-4EB974FC3084}">
      <x14:pivotCacheDefinition pivotCacheId="1698337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r>
  <r>
    <s v="ORD0002"/>
    <x v="1"/>
    <s v="India"/>
    <x v="1"/>
    <s v="Online"/>
    <s v="Low"/>
    <d v="2023-01-02T00:00:00"/>
    <n v="341"/>
    <n v="467.92"/>
    <n v="139.84"/>
    <n v="159560.72"/>
  </r>
  <r>
    <s v="ORD0003"/>
    <x v="2"/>
    <s v="India"/>
    <x v="2"/>
    <s v="Offline"/>
    <s v="High"/>
    <d v="2023-01-03T00:00:00"/>
    <n v="179"/>
    <n v="473.94"/>
    <n v="97.14"/>
    <n v="84835.26"/>
  </r>
  <r>
    <s v="ORD0004"/>
    <x v="0"/>
    <s v="USA"/>
    <x v="3"/>
    <s v="Offline"/>
    <s v="Medium"/>
    <d v="2023-01-04T00:00:00"/>
    <n v="18"/>
    <n v="314.52999999999997"/>
    <n v="204.87"/>
    <n v="5661.5399999999991"/>
  </r>
  <r>
    <s v="ORD0005"/>
    <x v="0"/>
    <s v="India"/>
    <x v="3"/>
    <s v="Offline"/>
    <s v="Medium"/>
    <d v="2023-01-05T00:00:00"/>
    <n v="472"/>
    <n v="392.79"/>
    <n v="330.46"/>
    <n v="185396.88"/>
  </r>
  <r>
    <s v="ORD0006"/>
    <x v="1"/>
    <s v="UK"/>
    <x v="2"/>
    <s v="Online"/>
    <s v="High"/>
    <d v="2023-01-06T00:00:00"/>
    <n v="49"/>
    <n v="308.07"/>
    <n v="113.32"/>
    <n v="15095.43"/>
  </r>
  <r>
    <s v="ORD0007"/>
    <x v="2"/>
    <s v="Germany"/>
    <x v="2"/>
    <s v="Online"/>
    <s v="Low"/>
    <d v="2023-01-07T00:00:00"/>
    <n v="34"/>
    <n v="244.78"/>
    <n v="377.07"/>
    <n v="8322.52"/>
  </r>
  <r>
    <s v="ORD0008"/>
    <x v="2"/>
    <s v="India"/>
    <x v="0"/>
    <s v="Online"/>
    <s v="High"/>
    <d v="2023-01-08T00:00:00"/>
    <n v="270"/>
    <n v="332.11"/>
    <n v="349.59"/>
    <n v="89669.7"/>
  </r>
  <r>
    <s v="ORD0009"/>
    <x v="0"/>
    <s v="India"/>
    <x v="0"/>
    <s v="Online"/>
    <s v="Low"/>
    <d v="2023-01-09T00:00:00"/>
    <n v="404"/>
    <n v="278.74"/>
    <n v="66.38"/>
    <n v="112610.96"/>
  </r>
  <r>
    <s v="ORD0010"/>
    <x v="1"/>
    <s v="USA"/>
    <x v="3"/>
    <s v="Online"/>
    <s v="Medium"/>
    <d v="2023-01-10T00:00:00"/>
    <n v="452"/>
    <n v="300.75"/>
    <n v="314.94"/>
    <n v="135939"/>
  </r>
  <r>
    <s v="ORD0011"/>
    <x v="0"/>
    <s v="USA"/>
    <x v="1"/>
    <s v="Online"/>
    <s v="Low"/>
    <d v="2023-01-11T00:00:00"/>
    <n v="235"/>
    <n v="393"/>
    <n v="230.69"/>
    <n v="92355"/>
  </r>
  <r>
    <s v="ORD0012"/>
    <x v="0"/>
    <s v="UK"/>
    <x v="3"/>
    <s v="Offline"/>
    <s v="Medium"/>
    <d v="2023-01-12T00:00:00"/>
    <n v="481"/>
    <n v="243.05"/>
    <n v="227.5"/>
    <n v="116907.05"/>
  </r>
  <r>
    <s v="ORD0013"/>
    <x v="0"/>
    <s v="Germany"/>
    <x v="1"/>
    <s v="Offline"/>
    <s v="Low"/>
    <d v="2023-01-13T00:00:00"/>
    <n v="133"/>
    <n v="25.17"/>
    <n v="157.63999999999999"/>
    <n v="3347.61"/>
  </r>
  <r>
    <s v="ORD0014"/>
    <x v="0"/>
    <s v="USA"/>
    <x v="1"/>
    <s v="Offline"/>
    <s v="Low"/>
    <d v="2023-01-14T00:00:00"/>
    <n v="472"/>
    <n v="86.18"/>
    <n v="201.46"/>
    <n v="40676.960000000006"/>
  </r>
  <r>
    <s v="ORD0015"/>
    <x v="1"/>
    <s v="India"/>
    <x v="0"/>
    <s v="Offline"/>
    <s v="Low"/>
    <d v="2023-01-15T00:00:00"/>
    <n v="47"/>
    <n v="222.11"/>
    <n v="160.08000000000001"/>
    <n v="10439.17"/>
  </r>
  <r>
    <s v="ORD0016"/>
    <x v="2"/>
    <s v="Germany"/>
    <x v="4"/>
    <s v="Online"/>
    <s v="High"/>
    <d v="2023-01-16T00:00:00"/>
    <n v="337"/>
    <n v="363.79"/>
    <n v="216.81"/>
    <n v="122597.23"/>
  </r>
  <r>
    <s v="ORD0017"/>
    <x v="1"/>
    <s v="Germany"/>
    <x v="4"/>
    <s v="Online"/>
    <s v="High"/>
    <d v="2023-01-17T00:00:00"/>
    <n v="260"/>
    <n v="298.67"/>
    <n v="251.92"/>
    <n v="77654.2"/>
  </r>
  <r>
    <s v="ORD0018"/>
    <x v="1"/>
    <s v="India"/>
    <x v="2"/>
    <s v="Offline"/>
    <s v="Medium"/>
    <d v="2023-01-18T00:00:00"/>
    <n v="398"/>
    <n v="326.89999999999998"/>
    <n v="270.37"/>
    <n v="130106.2"/>
  </r>
  <r>
    <s v="ORD0019"/>
    <x v="1"/>
    <s v="USA"/>
    <x v="0"/>
    <s v="Online"/>
    <s v="Medium"/>
    <d v="2023-01-19T00:00:00"/>
    <n v="185"/>
    <n v="242.24"/>
    <n v="213.93"/>
    <n v="44814.400000000001"/>
  </r>
  <r>
    <s v="ORD0020"/>
    <x v="0"/>
    <s v="India"/>
    <x v="1"/>
    <s v="Offline"/>
    <s v="High"/>
    <d v="2023-01-20T00:00:00"/>
    <n v="99"/>
    <n v="309.79000000000002"/>
    <n v="289.13"/>
    <n v="30669.21"/>
  </r>
  <r>
    <s v="ORD0021"/>
    <x v="3"/>
    <s v="Germany"/>
    <x v="4"/>
    <s v="Offline"/>
    <s v="Medium"/>
    <d v="2023-01-21T00:00:00"/>
    <n v="411"/>
    <n v="167.86"/>
    <n v="58.23"/>
    <n v="68990.460000000006"/>
  </r>
  <r>
    <s v="ORD0022"/>
    <x v="2"/>
    <s v="Australia"/>
    <x v="1"/>
    <s v="Offline"/>
    <s v="High"/>
    <d v="2023-01-22T00:00:00"/>
    <n v="463"/>
    <n v="237.74"/>
    <n v="86.37"/>
    <n v="110073.62"/>
  </r>
  <r>
    <s v="ORD0023"/>
    <x v="3"/>
    <s v="Australia"/>
    <x v="4"/>
    <s v="Online"/>
    <s v="Low"/>
    <d v="2023-01-23T00:00:00"/>
    <n v="46"/>
    <n v="373.42"/>
    <n v="327.86"/>
    <n v="17177.32"/>
  </r>
  <r>
    <s v="ORD0024"/>
    <x v="1"/>
    <s v="UK"/>
    <x v="4"/>
    <s v="Offline"/>
    <s v="Medium"/>
    <d v="2023-01-24T00:00:00"/>
    <n v="325"/>
    <n v="436.56"/>
    <n v="130.37"/>
    <n v="141882"/>
  </r>
  <r>
    <s v="ORD0025"/>
    <x v="1"/>
    <s v="India"/>
    <x v="0"/>
    <s v="Offline"/>
    <s v="Medium"/>
    <d v="2023-01-25T00:00:00"/>
    <n v="185"/>
    <n v="219.66"/>
    <n v="11.11"/>
    <n v="40637.1"/>
  </r>
  <r>
    <s v="ORD0026"/>
    <x v="3"/>
    <s v="India"/>
    <x v="0"/>
    <s v="Offline"/>
    <s v="High"/>
    <d v="2023-01-26T00:00:00"/>
    <n v="470"/>
    <n v="26.61"/>
    <n v="63.21"/>
    <n v="12506.7"/>
  </r>
  <r>
    <s v="ORD0027"/>
    <x v="3"/>
    <s v="UK"/>
    <x v="3"/>
    <s v="Online"/>
    <s v="Medium"/>
    <d v="2023-01-27T00:00:00"/>
    <n v="293"/>
    <n v="85.03"/>
    <n v="91"/>
    <n v="24913.79"/>
  </r>
  <r>
    <s v="ORD0028"/>
    <x v="3"/>
    <s v="UK"/>
    <x v="1"/>
    <s v="Online"/>
    <s v="Medium"/>
    <d v="2023-01-28T00:00:00"/>
    <n v="462"/>
    <n v="255.39500000000001"/>
    <n v="383.01"/>
    <n v="117992.49"/>
  </r>
  <r>
    <s v="ORD0029"/>
    <x v="1"/>
    <s v="UK"/>
    <x v="0"/>
    <s v="Offline"/>
    <s v="Low"/>
    <d v="2023-01-29T00:00:00"/>
    <n v="470"/>
    <n v="328.37"/>
    <n v="230.07"/>
    <n v="154333.9"/>
  </r>
  <r>
    <s v="ORD0030"/>
    <x v="1"/>
    <s v="Germany"/>
    <x v="0"/>
    <s v="Online"/>
    <s v="Medium"/>
    <d v="2023-01-30T00:00:00"/>
    <n v="90"/>
    <n v="169.5"/>
    <n v="373.23"/>
    <n v="15255"/>
  </r>
  <r>
    <s v="ORD0031"/>
    <x v="1"/>
    <s v="India"/>
    <x v="0"/>
    <s v="Online"/>
    <s v="Low"/>
    <d v="2023-01-31T00:00:00"/>
    <n v="123"/>
    <n v="273.52999999999997"/>
    <n v="230.92"/>
    <n v="33644.19"/>
  </r>
  <r>
    <s v="ORD0032"/>
    <x v="2"/>
    <s v="Germany"/>
    <x v="0"/>
    <s v="Online"/>
    <s v="High"/>
    <d v="2023-02-01T00:00:00"/>
    <n v="49"/>
    <n v="249.17"/>
    <n v="192.78"/>
    <n v="12209.33"/>
  </r>
  <r>
    <s v="ORD0033"/>
    <x v="1"/>
    <s v="UK"/>
    <x v="0"/>
    <s v="Online"/>
    <s v="Medium"/>
    <d v="2023-02-02T00:00:00"/>
    <n v="310"/>
    <n v="45.36"/>
    <n v="126.86"/>
    <n v="14061.6"/>
  </r>
  <r>
    <s v="ORD0034"/>
    <x v="3"/>
    <s v="India"/>
    <x v="2"/>
    <s v="Online"/>
    <s v="Low"/>
    <d v="2023-02-03T00:00:00"/>
    <n v="233"/>
    <n v="204.61"/>
    <n v="243.34"/>
    <n v="47674.13"/>
  </r>
  <r>
    <s v="ORD0035"/>
    <x v="3"/>
    <s v="Germany"/>
    <x v="1"/>
    <s v="Online"/>
    <s v="High"/>
    <d v="2023-02-04T00:00:00"/>
    <n v="327"/>
    <n v="114.18"/>
    <n v="57.4"/>
    <n v="37336.86"/>
  </r>
  <r>
    <s v="ORD0036"/>
    <x v="2"/>
    <s v="Germany"/>
    <x v="0"/>
    <s v="Online"/>
    <s v="Medium"/>
    <d v="2023-02-05T00:00:00"/>
    <n v="358"/>
    <n v="212.11"/>
    <n v="359.51"/>
    <n v="75935.38"/>
  </r>
  <r>
    <s v="ORD0037"/>
    <x v="1"/>
    <s v="UK"/>
    <x v="1"/>
    <s v="Online"/>
    <s v="High"/>
    <d v="2023-02-06T00:00:00"/>
    <n v="124"/>
    <n v="255.39500000000001"/>
    <n v="332.07"/>
    <n v="31668.98"/>
  </r>
  <r>
    <s v="ORD0038"/>
    <x v="2"/>
    <s v="India"/>
    <x v="2"/>
    <s v="Online"/>
    <s v="Medium"/>
    <d v="2023-02-07T00:00:00"/>
    <n v="195"/>
    <n v="421.02"/>
    <n v="128.38"/>
    <n v="82098.899999999994"/>
  </r>
  <r>
    <s v="ORD0039"/>
    <x v="2"/>
    <s v="UK"/>
    <x v="2"/>
    <s v="Online"/>
    <s v="High"/>
    <d v="2023-02-08T00:00:00"/>
    <n v="248.5"/>
    <n v="91.23"/>
    <n v="381.21"/>
    <n v="22670.654999999999"/>
  </r>
  <r>
    <s v="ORD0040"/>
    <x v="0"/>
    <s v="India"/>
    <x v="1"/>
    <s v="Offline"/>
    <s v="High"/>
    <d v="2023-02-09T00:00:00"/>
    <n v="65"/>
    <n v="480.59"/>
    <n v="330.43"/>
    <n v="31238.35"/>
  </r>
  <r>
    <s v="ORD0041"/>
    <x v="0"/>
    <s v="Australia"/>
    <x v="4"/>
    <s v="Offline"/>
    <s v="Low"/>
    <d v="2023-02-10T00:00:00"/>
    <n v="49"/>
    <n v="210.87"/>
    <n v="267.19"/>
    <n v="10332.629999999999"/>
  </r>
  <r>
    <s v="ORD0042"/>
    <x v="0"/>
    <s v="USA"/>
    <x v="3"/>
    <s v="Online"/>
    <s v="High"/>
    <d v="2023-02-11T00:00:00"/>
    <n v="363"/>
    <n v="423.89"/>
    <n v="50.46"/>
    <n v="153872.07"/>
  </r>
  <r>
    <s v="ORD0043"/>
    <x v="3"/>
    <s v="USA"/>
    <x v="4"/>
    <s v="Offline"/>
    <s v="Medium"/>
    <d v="2023-02-12T00:00:00"/>
    <n v="49"/>
    <n v="316.24"/>
    <n v="192.34"/>
    <n v="15495.76"/>
  </r>
  <r>
    <s v="ORD0044"/>
    <x v="1"/>
    <s v="USA"/>
    <x v="4"/>
    <s v="Offline"/>
    <s v="Medium"/>
    <d v="2023-02-13T00:00:00"/>
    <n v="356"/>
    <n v="369"/>
    <n v="203.43"/>
    <n v="131364"/>
  </r>
  <r>
    <s v="ORD0045"/>
    <x v="1"/>
    <s v="UK"/>
    <x v="4"/>
    <s v="Online"/>
    <s v="Low"/>
    <d v="2023-02-14T00:00:00"/>
    <n v="470"/>
    <n v="255.39500000000001"/>
    <n v="94.56"/>
    <n v="120035.65"/>
  </r>
  <r>
    <s v="ORD0046"/>
    <x v="1"/>
    <s v="Australia"/>
    <x v="0"/>
    <s v="Online"/>
    <s v="Medium"/>
    <d v="2023-02-15T00:00:00"/>
    <n v="246"/>
    <n v="254.9"/>
    <n v="33.83"/>
    <n v="62705.4"/>
  </r>
  <r>
    <s v="ORD0047"/>
    <x v="1"/>
    <s v="India"/>
    <x v="2"/>
    <s v="Online"/>
    <s v="Medium"/>
    <d v="2023-02-16T00:00:00"/>
    <n v="298"/>
    <n v="273.93"/>
    <n v="311.14"/>
    <n v="81631.14"/>
  </r>
  <r>
    <s v="ORD0048"/>
    <x v="0"/>
    <s v="Germany"/>
    <x v="4"/>
    <s v="Offline"/>
    <s v="Medium"/>
    <d v="2023-02-17T00:00:00"/>
    <n v="271"/>
    <n v="259.43"/>
    <n v="50.57"/>
    <n v="70305.53"/>
  </r>
  <r>
    <s v="ORD0049"/>
    <x v="3"/>
    <s v="India"/>
    <x v="2"/>
    <s v="Offline"/>
    <s v="High"/>
    <d v="2023-02-18T00:00:00"/>
    <n v="225"/>
    <n v="296.08999999999997"/>
    <n v="238.53"/>
    <n v="66620.25"/>
  </r>
  <r>
    <s v="ORD0050"/>
    <x v="1"/>
    <s v="Germany"/>
    <x v="1"/>
    <s v="Online"/>
    <s v="High"/>
    <d v="2023-02-19T00:00:00"/>
    <n v="156"/>
    <n v="19.55"/>
    <n v="374.71"/>
    <n v="3049.8"/>
  </r>
  <r>
    <s v="ORD0051"/>
    <x v="0"/>
    <s v="India"/>
    <x v="3"/>
    <s v="Online"/>
    <s v="Medium"/>
    <d v="2023-02-20T00:00:00"/>
    <n v="345"/>
    <n v="200.78"/>
    <n v="350.69"/>
    <n v="69269.100000000006"/>
  </r>
  <r>
    <s v="ORD0052"/>
    <x v="3"/>
    <s v="Australia"/>
    <x v="1"/>
    <s v="Online"/>
    <s v="Low"/>
    <d v="2023-02-21T00:00:00"/>
    <n v="177"/>
    <n v="305.06"/>
    <n v="112.55"/>
    <n v="53995.62"/>
  </r>
  <r>
    <s v="ORD0053"/>
    <x v="0"/>
    <s v="Germany"/>
    <x v="1"/>
    <s v="Offline"/>
    <s v="High"/>
    <d v="2023-02-22T00:00:00"/>
    <n v="101"/>
    <n v="300.87"/>
    <n v="340.88"/>
    <n v="30387.87"/>
  </r>
  <r>
    <s v="ORD0054"/>
    <x v="1"/>
    <s v="UK"/>
    <x v="0"/>
    <s v="Offline"/>
    <s v="Low"/>
    <d v="2023-02-23T00:00:00"/>
    <n v="362"/>
    <n v="397.51"/>
    <n v="2.13"/>
    <n v="143898.62"/>
  </r>
  <r>
    <s v="ORD0055"/>
    <x v="0"/>
    <s v="India"/>
    <x v="3"/>
    <s v="Offline"/>
    <s v="Medium"/>
    <d v="2023-02-24T00:00:00"/>
    <n v="68"/>
    <n v="329.23"/>
    <n v="9.0399999999999991"/>
    <n v="22387.64"/>
  </r>
  <r>
    <s v="ORD0056"/>
    <x v="1"/>
    <s v="India"/>
    <x v="1"/>
    <s v="Offline"/>
    <s v="Medium"/>
    <d v="2023-02-25T00:00:00"/>
    <n v="68"/>
    <n v="496.11"/>
    <n v="241.82"/>
    <n v="33735.480000000003"/>
  </r>
  <r>
    <s v="ORD0057"/>
    <x v="1"/>
    <s v="Germany"/>
    <x v="1"/>
    <s v="Online"/>
    <s v="High"/>
    <d v="2023-02-26T00:00:00"/>
    <n v="313"/>
    <n v="145.51"/>
    <n v="147.19"/>
    <n v="45544.63"/>
  </r>
  <r>
    <s v="ORD0058"/>
    <x v="2"/>
    <s v="UK"/>
    <x v="3"/>
    <s v="Online"/>
    <s v="Medium"/>
    <d v="2023-02-27T00:00:00"/>
    <n v="178"/>
    <n v="182.78"/>
    <n v="155.81"/>
    <n v="32534.84"/>
  </r>
  <r>
    <s v="ORD0059"/>
    <x v="0"/>
    <s v="UK"/>
    <x v="3"/>
    <s v="Online"/>
    <s v="High"/>
    <d v="2023-02-28T00:00:00"/>
    <n v="278"/>
    <n v="195"/>
    <n v="226.65"/>
    <n v="54210"/>
  </r>
  <r>
    <s v="ORD0060"/>
    <x v="2"/>
    <s v="Australia"/>
    <x v="1"/>
    <s v="Online"/>
    <s v="Medium"/>
    <d v="2023-03-01T00:00:00"/>
    <n v="372"/>
    <n v="235.58"/>
    <n v="78.33"/>
    <n v="87635.760000000009"/>
  </r>
  <r>
    <s v="ORD0061"/>
    <x v="0"/>
    <s v="UK"/>
    <x v="3"/>
    <s v="Offline"/>
    <s v="Medium"/>
    <d v="2023-03-02T00:00:00"/>
    <n v="54"/>
    <n v="418.82"/>
    <n v="86.28"/>
    <n v="22616.28"/>
  </r>
  <r>
    <s v="ORD0062"/>
    <x v="0"/>
    <s v="UK"/>
    <x v="1"/>
    <s v="Offline"/>
    <s v="High"/>
    <d v="2023-03-03T00:00:00"/>
    <n v="354"/>
    <n v="121.72"/>
    <n v="194.87"/>
    <n v="43088.88"/>
  </r>
  <r>
    <s v="ORD0063"/>
    <x v="2"/>
    <s v="UK"/>
    <x v="1"/>
    <s v="Online"/>
    <s v="High"/>
    <d v="2023-03-04T00:00:00"/>
    <n v="190"/>
    <n v="389.12"/>
    <n v="302.19"/>
    <n v="73932.800000000003"/>
  </r>
  <r>
    <s v="ORD0064"/>
    <x v="1"/>
    <s v="USA"/>
    <x v="0"/>
    <s v="Online"/>
    <s v="High"/>
    <d v="2023-03-05T00:00:00"/>
    <n v="179"/>
    <n v="205.63"/>
    <n v="248.56"/>
    <n v="36807.769999999997"/>
  </r>
  <r>
    <s v="ORD0065"/>
    <x v="0"/>
    <s v="Australia"/>
    <x v="4"/>
    <s v="Offline"/>
    <s v="Medium"/>
    <d v="2023-03-06T00:00:00"/>
    <n v="365"/>
    <n v="302.92"/>
    <n v="120.35"/>
    <n v="110565.8"/>
  </r>
  <r>
    <s v="ORD0066"/>
    <x v="3"/>
    <s v="India"/>
    <x v="1"/>
    <s v="Online"/>
    <s v="Medium"/>
    <d v="2023-03-07T00:00:00"/>
    <n v="200"/>
    <n v="318.11"/>
    <n v="173.27"/>
    <n v="63622"/>
  </r>
  <r>
    <s v="ORD0067"/>
    <x v="1"/>
    <s v="Germany"/>
    <x v="2"/>
    <s v="Offline"/>
    <s v="Low"/>
    <d v="2023-03-08T00:00:00"/>
    <n v="164"/>
    <n v="189.56"/>
    <n v="69.92"/>
    <n v="31087.84"/>
  </r>
  <r>
    <s v="ORD0068"/>
    <x v="2"/>
    <s v="India"/>
    <x v="4"/>
    <s v="Online"/>
    <s v="High"/>
    <d v="2023-03-09T00:00:00"/>
    <n v="431"/>
    <n v="258.74"/>
    <n v="31.7"/>
    <n v="111516.94"/>
  </r>
  <r>
    <s v="ORD0069"/>
    <x v="1"/>
    <s v="Australia"/>
    <x v="4"/>
    <s v="Online"/>
    <s v="Medium"/>
    <d v="2023-03-10T00:00:00"/>
    <n v="197"/>
    <n v="209.45"/>
    <n v="313.51"/>
    <n v="41261.649999999987"/>
  </r>
  <r>
    <s v="ORD0070"/>
    <x v="3"/>
    <s v="Germany"/>
    <x v="4"/>
    <s v="Online"/>
    <s v="Medium"/>
    <d v="2023-03-11T00:00:00"/>
    <n v="16"/>
    <n v="39.22"/>
    <n v="107.62"/>
    <n v="627.52"/>
  </r>
  <r>
    <s v="ORD0071"/>
    <x v="3"/>
    <s v="Australia"/>
    <x v="0"/>
    <s v="Online"/>
    <s v="High"/>
    <d v="2023-03-12T00:00:00"/>
    <n v="142"/>
    <n v="221.4"/>
    <n v="72.75"/>
    <n v="31438.799999999999"/>
  </r>
  <r>
    <s v="ORD0072"/>
    <x v="3"/>
    <s v="UK"/>
    <x v="1"/>
    <s v="Online"/>
    <s v="Low"/>
    <d v="2023-03-13T00:00:00"/>
    <n v="244"/>
    <n v="53.21"/>
    <n v="277.26"/>
    <n v="12983.24"/>
  </r>
  <r>
    <s v="ORD0073"/>
    <x v="2"/>
    <s v="Germany"/>
    <x v="0"/>
    <s v="Online"/>
    <s v="High"/>
    <d v="2023-03-14T00:00:00"/>
    <n v="54"/>
    <n v="205.49"/>
    <n v="247.98"/>
    <n v="11096.46"/>
  </r>
  <r>
    <s v="ORD0074"/>
    <x v="3"/>
    <s v="UK"/>
    <x v="1"/>
    <s v="Online"/>
    <s v="Low"/>
    <d v="2023-03-15T00:00:00"/>
    <n v="323"/>
    <n v="298.49"/>
    <n v="254.01"/>
    <n v="96412.27"/>
  </r>
  <r>
    <s v="ORD0075"/>
    <x v="2"/>
    <s v="India"/>
    <x v="0"/>
    <s v="Offline"/>
    <s v="Medium"/>
    <d v="2023-03-16T00:00:00"/>
    <n v="258"/>
    <n v="291.81"/>
    <n v="93.1"/>
    <n v="75286.98"/>
  </r>
  <r>
    <s v="ORD0076"/>
    <x v="3"/>
    <s v="India"/>
    <x v="0"/>
    <s v="Offline"/>
    <s v="Low"/>
    <d v="2023-03-17T00:00:00"/>
    <n v="40"/>
    <n v="333"/>
    <n v="94.59"/>
    <n v="13320"/>
  </r>
  <r>
    <s v="ORD0077"/>
    <x v="1"/>
    <s v="Germany"/>
    <x v="2"/>
    <s v="Offline"/>
    <s v="Medium"/>
    <d v="2023-03-18T00:00:00"/>
    <n v="32"/>
    <n v="52.15"/>
    <n v="89.88"/>
    <n v="1668.8"/>
  </r>
  <r>
    <s v="ORD0078"/>
    <x v="1"/>
    <s v="Germany"/>
    <x v="0"/>
    <s v="Offline"/>
    <s v="High"/>
    <d v="2023-03-19T00:00:00"/>
    <n v="435"/>
    <n v="327.8"/>
    <n v="71.150000000000006"/>
    <n v="142593"/>
  </r>
  <r>
    <s v="ORD0079"/>
    <x v="0"/>
    <s v="Australia"/>
    <x v="3"/>
    <s v="Offline"/>
    <s v="High"/>
    <d v="2023-03-20T00:00:00"/>
    <n v="403"/>
    <n v="159.51"/>
    <n v="262.98"/>
    <n v="64282.53"/>
  </r>
  <r>
    <s v="ORD0080"/>
    <x v="1"/>
    <s v="Australia"/>
    <x v="2"/>
    <s v="Online"/>
    <s v="High"/>
    <d v="2023-03-21T00:00:00"/>
    <n v="169"/>
    <n v="255.39500000000001"/>
    <n v="339.51"/>
    <n v="43161.754999999997"/>
  </r>
  <r>
    <s v="ORD0081"/>
    <x v="0"/>
    <s v="UK"/>
    <x v="0"/>
    <s v="Online"/>
    <s v="Low"/>
    <d v="2023-03-22T00:00:00"/>
    <n v="372"/>
    <n v="429.7"/>
    <n v="290.27999999999997"/>
    <n v="159848.4"/>
  </r>
  <r>
    <s v="ORD0082"/>
    <x v="1"/>
    <s v="Germany"/>
    <x v="4"/>
    <s v="Offline"/>
    <s v="Medium"/>
    <d v="2023-03-23T00:00:00"/>
    <n v="446"/>
    <n v="9.4700000000000006"/>
    <n v="317.25"/>
    <n v="4223.62"/>
  </r>
  <r>
    <s v="ORD0083"/>
    <x v="2"/>
    <s v="India"/>
    <x v="3"/>
    <s v="Online"/>
    <s v="High"/>
    <d v="2023-03-24T00:00:00"/>
    <n v="167"/>
    <n v="296.26"/>
    <n v="163.11000000000001"/>
    <n v="49475.42"/>
  </r>
  <r>
    <s v="ORD0084"/>
    <x v="1"/>
    <s v="Australia"/>
    <x v="3"/>
    <s v="Offline"/>
    <s v="High"/>
    <d v="2023-03-25T00:00:00"/>
    <n v="48"/>
    <n v="301.36"/>
    <n v="262.32"/>
    <n v="14465.28"/>
  </r>
  <r>
    <s v="ORD0085"/>
    <x v="0"/>
    <s v="Australia"/>
    <x v="3"/>
    <s v="Offline"/>
    <s v="Medium"/>
    <d v="2023-03-26T00:00:00"/>
    <n v="424"/>
    <n v="201.35"/>
    <n v="142.99"/>
    <n v="85372.4"/>
  </r>
  <r>
    <s v="ORD0086"/>
    <x v="0"/>
    <s v="India"/>
    <x v="2"/>
    <s v="Online"/>
    <s v="High"/>
    <d v="2023-03-27T00:00:00"/>
    <n v="91"/>
    <n v="122.33"/>
    <n v="211.15"/>
    <n v="11132.03"/>
  </r>
  <r>
    <s v="ORD0087"/>
    <x v="3"/>
    <s v="Australia"/>
    <x v="0"/>
    <s v="Online"/>
    <s v="Medium"/>
    <d v="2023-03-28T00:00:00"/>
    <n v="365"/>
    <n v="121.16"/>
    <n v="193.69"/>
    <n v="44223.4"/>
  </r>
  <r>
    <s v="ORD0088"/>
    <x v="2"/>
    <s v="UK"/>
    <x v="0"/>
    <s v="Online"/>
    <s v="Medium"/>
    <d v="2023-03-29T00:00:00"/>
    <n v="267"/>
    <n v="442.44"/>
    <n v="72.400000000000006"/>
    <n v="118131.48"/>
  </r>
  <r>
    <s v="ORD0089"/>
    <x v="1"/>
    <s v="Germany"/>
    <x v="4"/>
    <s v="Offline"/>
    <s v="Medium"/>
    <d v="2023-03-30T00:00:00"/>
    <n v="215"/>
    <n v="223.8"/>
    <n v="156.06"/>
    <n v="48117"/>
  </r>
  <r>
    <s v="ORD0090"/>
    <x v="3"/>
    <s v="India"/>
    <x v="4"/>
    <s v="Online"/>
    <s v="Medium"/>
    <d v="2023-03-31T00:00:00"/>
    <n v="86"/>
    <n v="168.79"/>
    <n v="385.6"/>
    <n v="14515.94"/>
  </r>
  <r>
    <s v="ORD0091"/>
    <x v="1"/>
    <s v="Germany"/>
    <x v="3"/>
    <s v="Offline"/>
    <s v="Medium"/>
    <d v="2023-04-01T00:00:00"/>
    <n v="486"/>
    <n v="227.14"/>
    <n v="100.93"/>
    <n v="110390.04"/>
  </r>
  <r>
    <s v="ORD0092"/>
    <x v="1"/>
    <s v="Australia"/>
    <x v="4"/>
    <s v="Offline"/>
    <s v="Low"/>
    <d v="2023-04-02T00:00:00"/>
    <n v="21"/>
    <n v="255.39500000000001"/>
    <n v="55.25"/>
    <n v="5363.2950000000001"/>
  </r>
  <r>
    <s v="ORD0093"/>
    <x v="3"/>
    <s v="Australia"/>
    <x v="2"/>
    <s v="Offline"/>
    <s v="High"/>
    <d v="2023-04-03T00:00:00"/>
    <n v="304"/>
    <n v="77.150000000000006"/>
    <n v="168.6"/>
    <n v="23453.599999999999"/>
  </r>
  <r>
    <s v="ORD0094"/>
    <x v="3"/>
    <s v="India"/>
    <x v="0"/>
    <s v="Online"/>
    <s v="Low"/>
    <d v="2023-04-04T00:00:00"/>
    <n v="459"/>
    <n v="227.47"/>
    <n v="316.55"/>
    <n v="104408.73"/>
  </r>
  <r>
    <s v="ORD0095"/>
    <x v="3"/>
    <s v="UK"/>
    <x v="3"/>
    <s v="Online"/>
    <s v="High"/>
    <d v="2023-04-05T00:00:00"/>
    <n v="233"/>
    <n v="296"/>
    <n v="233.69"/>
    <n v="68968"/>
  </r>
  <r>
    <s v="ORD0096"/>
    <x v="3"/>
    <s v="USA"/>
    <x v="4"/>
    <s v="Offline"/>
    <s v="Low"/>
    <d v="2023-04-06T00:00:00"/>
    <n v="22"/>
    <n v="474.55"/>
    <n v="273.02999999999997"/>
    <n v="10440.1"/>
  </r>
  <r>
    <s v="ORD0097"/>
    <x v="3"/>
    <s v="India"/>
    <x v="2"/>
    <s v="Online"/>
    <s v="Medium"/>
    <d v="2023-04-07T00:00:00"/>
    <n v="55"/>
    <n v="130"/>
    <n v="77.5"/>
    <n v="7150"/>
  </r>
  <r>
    <s v="ORD0098"/>
    <x v="1"/>
    <s v="USA"/>
    <x v="2"/>
    <s v="Online"/>
    <s v="High"/>
    <d v="2023-04-08T00:00:00"/>
    <n v="164"/>
    <n v="182.83"/>
    <n v="248.34"/>
    <n v="29984.12"/>
  </r>
  <r>
    <s v="ORD0099"/>
    <x v="3"/>
    <s v="USA"/>
    <x v="4"/>
    <s v="Online"/>
    <s v="High"/>
    <d v="2023-04-09T00:00:00"/>
    <n v="122"/>
    <n v="192.78"/>
    <n v="130.75"/>
    <n v="23519.16"/>
  </r>
  <r>
    <s v="ORD0100"/>
    <x v="2"/>
    <s v="UK"/>
    <x v="0"/>
    <s v="Offline"/>
    <s v="Low"/>
    <d v="2023-04-10T00:00:00"/>
    <n v="242"/>
    <n v="304.74"/>
    <n v="334.05"/>
    <n v="73747.08"/>
  </r>
  <r>
    <s v="ORD0101"/>
    <x v="0"/>
    <s v="USA"/>
    <x v="4"/>
    <s v="Offline"/>
    <s v="Low"/>
    <d v="2023-04-11T00:00:00"/>
    <n v="26"/>
    <n v="181.58"/>
    <n v="252.46"/>
    <n v="4721.08"/>
  </r>
  <r>
    <s v="ORD0102"/>
    <x v="3"/>
    <s v="USA"/>
    <x v="3"/>
    <s v="Online"/>
    <s v="High"/>
    <d v="2023-04-12T00:00:00"/>
    <n v="369"/>
    <n v="269.08999999999997"/>
    <n v="81.14"/>
    <n v="99294.209999999992"/>
  </r>
  <r>
    <s v="ORD0103"/>
    <x v="3"/>
    <s v="UK"/>
    <x v="4"/>
    <s v="Offline"/>
    <s v="Low"/>
    <d v="2023-04-13T00:00:00"/>
    <n v="232"/>
    <n v="391.99"/>
    <n v="27.72"/>
    <n v="90941.680000000008"/>
  </r>
  <r>
    <s v="ORD0104"/>
    <x v="1"/>
    <s v="USA"/>
    <x v="2"/>
    <s v="Online"/>
    <s v="Low"/>
    <d v="2023-04-14T00:00:00"/>
    <n v="363"/>
    <n v="354.17"/>
    <n v="18.97"/>
    <n v="128563.71"/>
  </r>
  <r>
    <s v="ORD0105"/>
    <x v="3"/>
    <s v="USA"/>
    <x v="4"/>
    <s v="Online"/>
    <s v="Low"/>
    <d v="2023-04-15T00:00:00"/>
    <n v="197"/>
    <n v="225.95"/>
    <n v="149.82"/>
    <n v="44512.149999999987"/>
  </r>
  <r>
    <s v="ORD0106"/>
    <x v="3"/>
    <s v="USA"/>
    <x v="0"/>
    <s v="Online"/>
    <s v="Medium"/>
    <d v="2023-04-16T00:00:00"/>
    <n v="457"/>
    <n v="432.79"/>
    <n v="107.81"/>
    <n v="197785.03"/>
  </r>
  <r>
    <s v="ORD0107"/>
    <x v="3"/>
    <s v="India"/>
    <x v="1"/>
    <s v="Online"/>
    <s v="Medium"/>
    <d v="2023-04-17T00:00:00"/>
    <n v="353"/>
    <n v="281.27999999999997"/>
    <n v="259.14"/>
    <n v="99291.839999999997"/>
  </r>
  <r>
    <s v="ORD0108"/>
    <x v="1"/>
    <s v="India"/>
    <x v="4"/>
    <s v="Offline"/>
    <s v="Low"/>
    <d v="2023-04-18T00:00:00"/>
    <n v="374"/>
    <n v="272.25"/>
    <n v="200.73"/>
    <n v="101821.5"/>
  </r>
  <r>
    <s v="ORD0109"/>
    <x v="3"/>
    <s v="India"/>
    <x v="0"/>
    <s v="Offline"/>
    <s v="Low"/>
    <d v="2023-04-19T00:00:00"/>
    <n v="172"/>
    <n v="21.92"/>
    <n v="107.88"/>
    <n v="3770.24"/>
  </r>
  <r>
    <s v="ORD0110"/>
    <x v="0"/>
    <s v="UK"/>
    <x v="0"/>
    <s v="Offline"/>
    <s v="Medium"/>
    <d v="2023-04-20T00:00:00"/>
    <n v="335"/>
    <n v="493.41"/>
    <n v="61.4"/>
    <n v="165292.35"/>
  </r>
  <r>
    <s v="ORD0111"/>
    <x v="1"/>
    <s v="Australia"/>
    <x v="2"/>
    <s v="Online"/>
    <s v="Medium"/>
    <d v="2023-04-21T00:00:00"/>
    <n v="476"/>
    <n v="65.87"/>
    <n v="52.63"/>
    <n v="31354.12"/>
  </r>
  <r>
    <s v="ORD0112"/>
    <x v="0"/>
    <s v="USA"/>
    <x v="0"/>
    <s v="Online"/>
    <s v="High"/>
    <d v="2023-04-22T00:00:00"/>
    <n v="423"/>
    <n v="119.41"/>
    <n v="346.13"/>
    <n v="50510.43"/>
  </r>
  <r>
    <s v="ORD0113"/>
    <x v="1"/>
    <s v="USA"/>
    <x v="0"/>
    <s v="Online"/>
    <s v="High"/>
    <d v="2023-04-23T00:00:00"/>
    <n v="464"/>
    <n v="30.59"/>
    <n v="98.9"/>
    <n v="14193.76"/>
  </r>
  <r>
    <s v="ORD0114"/>
    <x v="3"/>
    <s v="UK"/>
    <x v="0"/>
    <s v="Offline"/>
    <s v="Medium"/>
    <d v="2023-04-24T00:00:00"/>
    <n v="83"/>
    <n v="321.8"/>
    <n v="261.38"/>
    <n v="26709.4"/>
  </r>
  <r>
    <s v="ORD0115"/>
    <x v="0"/>
    <s v="USA"/>
    <x v="0"/>
    <s v="Online"/>
    <s v="Low"/>
    <d v="2023-04-25T00:00:00"/>
    <n v="242"/>
    <n v="116.23"/>
    <n v="324.64999999999998"/>
    <n v="28127.66"/>
  </r>
  <r>
    <s v="ORD0116"/>
    <x v="1"/>
    <s v="India"/>
    <x v="3"/>
    <s v="Offline"/>
    <s v="Low"/>
    <d v="2023-04-26T00:00:00"/>
    <n v="233"/>
    <n v="94.11"/>
    <n v="246.4"/>
    <n v="21927.63"/>
  </r>
  <r>
    <s v="ORD0117"/>
    <x v="2"/>
    <s v="Australia"/>
    <x v="3"/>
    <s v="Offline"/>
    <s v="Low"/>
    <d v="2023-04-27T00:00:00"/>
    <n v="491"/>
    <n v="48.84"/>
    <n v="344.11"/>
    <n v="23980.44"/>
  </r>
  <r>
    <s v="ORD0118"/>
    <x v="1"/>
    <s v="Germany"/>
    <x v="2"/>
    <s v="Offline"/>
    <s v="Low"/>
    <d v="2023-04-28T00:00:00"/>
    <n v="328"/>
    <n v="56.14"/>
    <n v="158.16999999999999"/>
    <n v="18413.919999999998"/>
  </r>
  <r>
    <s v="ORD0119"/>
    <x v="1"/>
    <s v="USA"/>
    <x v="4"/>
    <s v="Offline"/>
    <s v="High"/>
    <d v="2023-04-29T00:00:00"/>
    <n v="421"/>
    <n v="294.41000000000003"/>
    <n v="382.58"/>
    <n v="123946.61"/>
  </r>
  <r>
    <s v="ORD0120"/>
    <x v="2"/>
    <s v="India"/>
    <x v="0"/>
    <s v="Offline"/>
    <s v="Medium"/>
    <d v="2023-04-30T00:00:00"/>
    <n v="69"/>
    <n v="345.66"/>
    <n v="54.99"/>
    <n v="23850.54"/>
  </r>
  <r>
    <s v="ORD0121"/>
    <x v="1"/>
    <s v="Germany"/>
    <x v="4"/>
    <s v="Offline"/>
    <s v="Low"/>
    <d v="2023-05-01T00:00:00"/>
    <n v="344"/>
    <n v="201.7"/>
    <n v="42.66"/>
    <n v="69384.800000000003"/>
  </r>
  <r>
    <s v="ORD0122"/>
    <x v="1"/>
    <s v="Australia"/>
    <x v="4"/>
    <s v="Online"/>
    <s v="High"/>
    <d v="2023-05-02T00:00:00"/>
    <n v="231"/>
    <n v="242.55"/>
    <n v="264.16000000000003"/>
    <n v="56029.05"/>
  </r>
  <r>
    <s v="ORD0123"/>
    <x v="3"/>
    <s v="Germany"/>
    <x v="2"/>
    <s v="Online"/>
    <s v="Low"/>
    <d v="2023-05-03T00:00:00"/>
    <n v="46"/>
    <n v="344.55"/>
    <n v="377.25"/>
    <n v="15849.3"/>
  </r>
  <r>
    <s v="ORD0124"/>
    <x v="0"/>
    <s v="India"/>
    <x v="0"/>
    <s v="Offline"/>
    <s v="Medium"/>
    <d v="2023-05-04T00:00:00"/>
    <n v="486"/>
    <n v="13.6"/>
    <n v="323.94"/>
    <n v="6609.5999999999995"/>
  </r>
  <r>
    <s v="ORD0125"/>
    <x v="2"/>
    <s v="Germany"/>
    <x v="0"/>
    <s v="Offline"/>
    <s v="High"/>
    <d v="2023-05-05T00:00:00"/>
    <n v="287"/>
    <n v="164.95"/>
    <n v="32.409999999999997"/>
    <n v="47340.649999999987"/>
  </r>
  <r>
    <s v="ORD0126"/>
    <x v="1"/>
    <s v="UK"/>
    <x v="1"/>
    <s v="Online"/>
    <s v="Medium"/>
    <d v="2023-05-06T00:00:00"/>
    <n v="205"/>
    <n v="486.68"/>
    <n v="113.19"/>
    <n v="99769.4"/>
  </r>
  <r>
    <s v="ORD0127"/>
    <x v="3"/>
    <s v="Germany"/>
    <x v="4"/>
    <s v="Offline"/>
    <s v="Medium"/>
    <d v="2023-05-07T00:00:00"/>
    <n v="413"/>
    <n v="292.16000000000003"/>
    <n v="372.27"/>
    <n v="120662.08"/>
  </r>
  <r>
    <s v="ORD0128"/>
    <x v="2"/>
    <s v="USA"/>
    <x v="4"/>
    <s v="Offline"/>
    <s v="High"/>
    <d v="2023-05-08T00:00:00"/>
    <n v="361"/>
    <n v="130.84"/>
    <n v="102.72"/>
    <n v="47233.24"/>
  </r>
  <r>
    <s v="ORD0129"/>
    <x v="1"/>
    <s v="USA"/>
    <x v="3"/>
    <s v="Online"/>
    <s v="High"/>
    <d v="2023-05-09T00:00:00"/>
    <n v="493"/>
    <n v="263.26"/>
    <n v="312.91000000000003"/>
    <n v="129787.18"/>
  </r>
  <r>
    <s v="ORD0130"/>
    <x v="1"/>
    <s v="UK"/>
    <x v="1"/>
    <s v="Offline"/>
    <s v="High"/>
    <d v="2023-05-10T00:00:00"/>
    <n v="251"/>
    <n v="174.61"/>
    <n v="330.4"/>
    <n v="43827.11"/>
  </r>
  <r>
    <s v="ORD0131"/>
    <x v="1"/>
    <s v="India"/>
    <x v="3"/>
    <s v="Offline"/>
    <s v="High"/>
    <d v="2023-05-11T00:00:00"/>
    <n v="248.5"/>
    <n v="268.45999999999998"/>
    <n v="199.19"/>
    <n v="66712.31"/>
  </r>
  <r>
    <s v="ORD0132"/>
    <x v="2"/>
    <s v="USA"/>
    <x v="3"/>
    <s v="Offline"/>
    <s v="High"/>
    <d v="2023-05-12T00:00:00"/>
    <n v="228"/>
    <n v="67.239999999999995"/>
    <n v="155.77000000000001"/>
    <n v="15330.72"/>
  </r>
  <r>
    <s v="ORD0133"/>
    <x v="2"/>
    <s v="Australia"/>
    <x v="3"/>
    <s v="Online"/>
    <s v="High"/>
    <d v="2023-05-13T00:00:00"/>
    <n v="201"/>
    <n v="70.69"/>
    <n v="181.15"/>
    <n v="14208.69"/>
  </r>
  <r>
    <s v="ORD0134"/>
    <x v="2"/>
    <s v="USA"/>
    <x v="2"/>
    <s v="Online"/>
    <s v="High"/>
    <d v="2023-05-14T00:00:00"/>
    <n v="26"/>
    <n v="76.05"/>
    <n v="92.33"/>
    <n v="1977.3"/>
  </r>
  <r>
    <s v="ORD0135"/>
    <x v="0"/>
    <s v="USA"/>
    <x v="2"/>
    <s v="Online"/>
    <s v="Low"/>
    <d v="2023-05-15T00:00:00"/>
    <n v="21"/>
    <n v="470.21"/>
    <n v="355.98"/>
    <n v="9874.41"/>
  </r>
  <r>
    <s v="ORD0136"/>
    <x v="2"/>
    <s v="India"/>
    <x v="3"/>
    <s v="Offline"/>
    <s v="Medium"/>
    <d v="2023-05-16T00:00:00"/>
    <n v="415"/>
    <n v="367.78"/>
    <n v="181.35"/>
    <n v="152628.70000000001"/>
  </r>
  <r>
    <s v="ORD0137"/>
    <x v="2"/>
    <s v="Germany"/>
    <x v="1"/>
    <s v="Offline"/>
    <s v="High"/>
    <d v="2023-05-17T00:00:00"/>
    <n v="410"/>
    <n v="85.38"/>
    <n v="353.22"/>
    <n v="35005.800000000003"/>
  </r>
  <r>
    <s v="ORD0138"/>
    <x v="2"/>
    <s v="USA"/>
    <x v="4"/>
    <s v="Online"/>
    <s v="Low"/>
    <d v="2023-05-18T00:00:00"/>
    <n v="403"/>
    <n v="98.23"/>
    <n v="44.07"/>
    <n v="39586.69"/>
  </r>
  <r>
    <s v="ORD0139"/>
    <x v="0"/>
    <s v="UK"/>
    <x v="1"/>
    <s v="Offline"/>
    <s v="Low"/>
    <d v="2023-05-19T00:00:00"/>
    <n v="383"/>
    <n v="366.76"/>
    <n v="395.33"/>
    <n v="140469.07999999999"/>
  </r>
  <r>
    <s v="ORD0140"/>
    <x v="2"/>
    <s v="Germany"/>
    <x v="0"/>
    <s v="Offline"/>
    <s v="Low"/>
    <d v="2023-05-20T00:00:00"/>
    <n v="202"/>
    <n v="82.3"/>
    <n v="178.42"/>
    <n v="16624.599999999999"/>
  </r>
  <r>
    <s v="ORD0141"/>
    <x v="1"/>
    <s v="Australia"/>
    <x v="2"/>
    <s v="Offline"/>
    <s v="Medium"/>
    <d v="2023-05-21T00:00:00"/>
    <n v="31"/>
    <n v="121.11"/>
    <n v="21.04"/>
    <n v="3754.41"/>
  </r>
  <r>
    <s v="ORD0142"/>
    <x v="2"/>
    <s v="India"/>
    <x v="4"/>
    <s v="Offline"/>
    <s v="High"/>
    <d v="2023-05-22T00:00:00"/>
    <n v="483"/>
    <n v="481.86"/>
    <n v="17.13"/>
    <n v="232738.38"/>
  </r>
  <r>
    <s v="ORD0143"/>
    <x v="1"/>
    <s v="Australia"/>
    <x v="4"/>
    <s v="Offline"/>
    <s v="Low"/>
    <d v="2023-05-23T00:00:00"/>
    <n v="129"/>
    <n v="131.38"/>
    <n v="298.99"/>
    <n v="16948.02"/>
  </r>
  <r>
    <s v="ORD0144"/>
    <x v="1"/>
    <s v="Germany"/>
    <x v="0"/>
    <s v="Online"/>
    <s v="Medium"/>
    <d v="2023-05-24T00:00:00"/>
    <n v="219"/>
    <n v="332.51"/>
    <n v="264.3"/>
    <n v="72819.69"/>
  </r>
  <r>
    <s v="ORD0145"/>
    <x v="1"/>
    <s v="Germany"/>
    <x v="0"/>
    <s v="Offline"/>
    <s v="Medium"/>
    <d v="2023-05-25T00:00:00"/>
    <n v="315"/>
    <n v="489.42"/>
    <n v="321.25"/>
    <n v="154167.29999999999"/>
  </r>
  <r>
    <s v="ORD0146"/>
    <x v="0"/>
    <s v="Germany"/>
    <x v="3"/>
    <s v="Online"/>
    <s v="Medium"/>
    <d v="2023-05-26T00:00:00"/>
    <n v="279"/>
    <n v="190.28"/>
    <n v="43.94"/>
    <n v="53088.12"/>
  </r>
  <r>
    <s v="ORD0147"/>
    <x v="0"/>
    <s v="Australia"/>
    <x v="2"/>
    <s v="Offline"/>
    <s v="Low"/>
    <d v="2023-05-27T00:00:00"/>
    <n v="201"/>
    <n v="13.67"/>
    <n v="16.16"/>
    <n v="2747.67"/>
  </r>
  <r>
    <s v="ORD0148"/>
    <x v="0"/>
    <s v="Germany"/>
    <x v="2"/>
    <s v="Online"/>
    <s v="High"/>
    <d v="2023-05-28T00:00:00"/>
    <n v="184"/>
    <n v="125.85"/>
    <n v="204.41"/>
    <n v="23156.400000000001"/>
  </r>
  <r>
    <s v="ORD0149"/>
    <x v="2"/>
    <s v="Australia"/>
    <x v="1"/>
    <s v="Offline"/>
    <s v="Low"/>
    <d v="2023-05-29T00:00:00"/>
    <n v="294"/>
    <n v="416.28"/>
    <n v="156.26"/>
    <n v="122386.32"/>
  </r>
  <r>
    <s v="ORD0150"/>
    <x v="1"/>
    <s v="Germany"/>
    <x v="3"/>
    <s v="Online"/>
    <s v="Low"/>
    <d v="2023-05-30T00:00:00"/>
    <n v="213"/>
    <n v="432.98"/>
    <n v="185.85"/>
    <n v="92224.74"/>
  </r>
  <r>
    <s v="ORD0151"/>
    <x v="0"/>
    <s v="UK"/>
    <x v="3"/>
    <s v="Offline"/>
    <s v="High"/>
    <d v="2023-05-31T00:00:00"/>
    <n v="173"/>
    <n v="385.42"/>
    <n v="396.65"/>
    <n v="66677.66"/>
  </r>
  <r>
    <s v="ORD0152"/>
    <x v="0"/>
    <s v="Germany"/>
    <x v="3"/>
    <s v="Online"/>
    <s v="High"/>
    <d v="2023-06-01T00:00:00"/>
    <n v="260"/>
    <n v="60.99"/>
    <n v="388.36"/>
    <n v="15857.4"/>
  </r>
  <r>
    <s v="ORD0153"/>
    <x v="2"/>
    <s v="Australia"/>
    <x v="3"/>
    <s v="Offline"/>
    <s v="High"/>
    <d v="2023-06-02T00:00:00"/>
    <n v="236"/>
    <n v="398.78"/>
    <n v="377.04"/>
    <n v="94112.079999999987"/>
  </r>
  <r>
    <s v="ORD0154"/>
    <x v="0"/>
    <s v="USA"/>
    <x v="2"/>
    <s v="Online"/>
    <s v="Medium"/>
    <d v="2023-06-03T00:00:00"/>
    <n v="445"/>
    <n v="459.75"/>
    <n v="313.97000000000003"/>
    <n v="204588.75"/>
  </r>
  <r>
    <s v="ORD0155"/>
    <x v="2"/>
    <s v="Germany"/>
    <x v="2"/>
    <s v="Offline"/>
    <s v="High"/>
    <d v="2023-06-04T00:00:00"/>
    <n v="390"/>
    <n v="302.3"/>
    <n v="143.22999999999999"/>
    <n v="117897"/>
  </r>
  <r>
    <s v="ORD0156"/>
    <x v="3"/>
    <s v="USA"/>
    <x v="3"/>
    <s v="Online"/>
    <s v="Low"/>
    <d v="2023-06-05T00:00:00"/>
    <n v="469"/>
    <n v="470.73"/>
    <n v="166.03"/>
    <n v="220772.37"/>
  </r>
  <r>
    <s v="ORD0157"/>
    <x v="0"/>
    <s v="UK"/>
    <x v="1"/>
    <s v="Online"/>
    <s v="High"/>
    <d v="2023-06-06T00:00:00"/>
    <n v="16"/>
    <n v="255.39500000000001"/>
    <n v="220.75"/>
    <n v="4086.32"/>
  </r>
  <r>
    <s v="ORD0158"/>
    <x v="3"/>
    <s v="India"/>
    <x v="4"/>
    <s v="Offline"/>
    <s v="Low"/>
    <d v="2023-06-07T00:00:00"/>
    <n v="38"/>
    <n v="335.15"/>
    <n v="332.55"/>
    <n v="12735.7"/>
  </r>
  <r>
    <s v="ORD0159"/>
    <x v="2"/>
    <s v="UK"/>
    <x v="0"/>
    <s v="Offline"/>
    <s v="Medium"/>
    <d v="2023-06-08T00:00:00"/>
    <n v="404"/>
    <n v="290.70999999999998"/>
    <n v="29.35"/>
    <n v="117446.84"/>
  </r>
  <r>
    <s v="ORD0160"/>
    <x v="1"/>
    <s v="Germany"/>
    <x v="1"/>
    <s v="Online"/>
    <s v="Low"/>
    <d v="2023-06-09T00:00:00"/>
    <n v="42"/>
    <n v="177.54"/>
    <n v="170.87"/>
    <n v="7456.6799999999994"/>
  </r>
  <r>
    <s v="ORD0161"/>
    <x v="0"/>
    <s v="USA"/>
    <x v="3"/>
    <s v="Offline"/>
    <s v="Low"/>
    <d v="2023-06-10T00:00:00"/>
    <n v="143"/>
    <n v="83.85"/>
    <n v="34.880000000000003"/>
    <n v="11990.55"/>
  </r>
  <r>
    <s v="ORD0162"/>
    <x v="2"/>
    <s v="USA"/>
    <x v="2"/>
    <s v="Online"/>
    <s v="High"/>
    <d v="2023-06-11T00:00:00"/>
    <n v="376"/>
    <n v="304.45"/>
    <n v="206.83"/>
    <n v="114473.2"/>
  </r>
  <r>
    <s v="ORD0163"/>
    <x v="1"/>
    <s v="Australia"/>
    <x v="4"/>
    <s v="Online"/>
    <s v="High"/>
    <d v="2023-06-12T00:00:00"/>
    <n v="88"/>
    <n v="162.47"/>
    <n v="359.76"/>
    <n v="14297.36"/>
  </r>
  <r>
    <s v="ORD0164"/>
    <x v="1"/>
    <s v="USA"/>
    <x v="0"/>
    <s v="Online"/>
    <s v="Low"/>
    <d v="2023-06-13T00:00:00"/>
    <n v="425"/>
    <n v="433.89"/>
    <n v="313.43"/>
    <n v="184403.25"/>
  </r>
  <r>
    <s v="ORD0165"/>
    <x v="3"/>
    <s v="Australia"/>
    <x v="0"/>
    <s v="Offline"/>
    <s v="High"/>
    <d v="2023-06-14T00:00:00"/>
    <n v="444"/>
    <n v="496.7"/>
    <n v="92.68"/>
    <n v="220534.8"/>
  </r>
  <r>
    <s v="ORD0166"/>
    <x v="2"/>
    <s v="India"/>
    <x v="1"/>
    <s v="Online"/>
    <s v="Medium"/>
    <d v="2023-06-15T00:00:00"/>
    <n v="468"/>
    <n v="377.45"/>
    <n v="390.44"/>
    <n v="176646.6"/>
  </r>
  <r>
    <s v="ORD0167"/>
    <x v="1"/>
    <s v="Germany"/>
    <x v="3"/>
    <s v="Online"/>
    <s v="Medium"/>
    <d v="2023-06-16T00:00:00"/>
    <n v="67"/>
    <n v="49.79"/>
    <n v="267.61"/>
    <n v="3335.93"/>
  </r>
  <r>
    <s v="ORD0168"/>
    <x v="0"/>
    <s v="Australia"/>
    <x v="4"/>
    <s v="Offline"/>
    <s v="High"/>
    <d v="2023-06-17T00:00:00"/>
    <n v="480"/>
    <n v="147.9"/>
    <n v="6.15"/>
    <n v="70992"/>
  </r>
  <r>
    <s v="ORD0169"/>
    <x v="0"/>
    <s v="India"/>
    <x v="3"/>
    <s v="Offline"/>
    <s v="Medium"/>
    <d v="2023-06-18T00:00:00"/>
    <n v="35"/>
    <n v="59.01"/>
    <n v="103.65"/>
    <n v="2065.35"/>
  </r>
  <r>
    <s v="ORD0170"/>
    <x v="3"/>
    <s v="USA"/>
    <x v="4"/>
    <s v="Offline"/>
    <s v="High"/>
    <d v="2023-06-19T00:00:00"/>
    <n v="491"/>
    <n v="327"/>
    <n v="105.76"/>
    <n v="160557"/>
  </r>
  <r>
    <s v="ORD0171"/>
    <x v="1"/>
    <s v="USA"/>
    <x v="1"/>
    <s v="Offline"/>
    <s v="Low"/>
    <d v="2023-06-20T00:00:00"/>
    <n v="439"/>
    <n v="383.77"/>
    <n v="29.56"/>
    <n v="168475.03"/>
  </r>
  <r>
    <s v="ORD0172"/>
    <x v="2"/>
    <s v="India"/>
    <x v="1"/>
    <s v="Online"/>
    <s v="Low"/>
    <d v="2023-06-21T00:00:00"/>
    <n v="235"/>
    <n v="463.21"/>
    <n v="384.01"/>
    <n v="108854.35"/>
  </r>
  <r>
    <s v="ORD0173"/>
    <x v="0"/>
    <s v="USA"/>
    <x v="0"/>
    <s v="Online"/>
    <s v="Medium"/>
    <d v="2023-06-22T00:00:00"/>
    <n v="294"/>
    <n v="221.9"/>
    <n v="192.35"/>
    <n v="65238.6"/>
  </r>
  <r>
    <s v="ORD0174"/>
    <x v="1"/>
    <s v="India"/>
    <x v="3"/>
    <s v="Online"/>
    <s v="High"/>
    <d v="2023-06-23T00:00:00"/>
    <n v="13"/>
    <n v="451.18"/>
    <n v="358.53"/>
    <n v="5865.34"/>
  </r>
  <r>
    <s v="ORD0175"/>
    <x v="1"/>
    <s v="Australia"/>
    <x v="0"/>
    <s v="Online"/>
    <s v="High"/>
    <d v="2023-06-24T00:00:00"/>
    <n v="474"/>
    <n v="439.56"/>
    <n v="130.24"/>
    <n v="208351.44"/>
  </r>
  <r>
    <s v="ORD0176"/>
    <x v="3"/>
    <s v="Australia"/>
    <x v="3"/>
    <s v="Offline"/>
    <s v="Medium"/>
    <d v="2023-06-25T00:00:00"/>
    <n v="108"/>
    <n v="162.01"/>
    <n v="51.84"/>
    <n v="17497.080000000002"/>
  </r>
  <r>
    <s v="ORD0177"/>
    <x v="0"/>
    <s v="India"/>
    <x v="0"/>
    <s v="Online"/>
    <s v="Low"/>
    <d v="2023-06-26T00:00:00"/>
    <n v="406"/>
    <n v="435.11"/>
    <n v="190.79"/>
    <n v="176654.66"/>
  </r>
  <r>
    <s v="ORD0178"/>
    <x v="0"/>
    <s v="Australia"/>
    <x v="2"/>
    <s v="Online"/>
    <s v="Medium"/>
    <d v="2023-06-27T00:00:00"/>
    <n v="498"/>
    <n v="190.96"/>
    <n v="47.35"/>
    <n v="95098.08"/>
  </r>
  <r>
    <s v="ORD0179"/>
    <x v="2"/>
    <s v="Australia"/>
    <x v="2"/>
    <s v="Offline"/>
    <s v="Low"/>
    <d v="2023-06-28T00:00:00"/>
    <n v="48"/>
    <n v="151.94999999999999"/>
    <n v="195.43"/>
    <n v="7293.5999999999995"/>
  </r>
  <r>
    <s v="ORD0180"/>
    <x v="0"/>
    <s v="Australia"/>
    <x v="2"/>
    <s v="Online"/>
    <s v="High"/>
    <d v="2023-06-29T00:00:00"/>
    <n v="280"/>
    <n v="326.29000000000002"/>
    <n v="368.28"/>
    <n v="91361.200000000012"/>
  </r>
  <r>
    <s v="ORD0181"/>
    <x v="2"/>
    <s v="UK"/>
    <x v="2"/>
    <s v="Online"/>
    <s v="Low"/>
    <d v="2023-06-30T00:00:00"/>
    <n v="384"/>
    <n v="167.55"/>
    <n v="209.27"/>
    <n v="64339.199999999997"/>
  </r>
  <r>
    <s v="ORD0182"/>
    <x v="0"/>
    <s v="Germany"/>
    <x v="4"/>
    <s v="Online"/>
    <s v="Medium"/>
    <d v="2023-07-01T00:00:00"/>
    <n v="294"/>
    <n v="316.95"/>
    <n v="247.37"/>
    <n v="93183.3"/>
  </r>
  <r>
    <s v="ORD0183"/>
    <x v="3"/>
    <s v="USA"/>
    <x v="2"/>
    <s v="Online"/>
    <s v="High"/>
    <d v="2023-07-02T00:00:00"/>
    <n v="166"/>
    <n v="306.87"/>
    <n v="64.34"/>
    <n v="50940.42"/>
  </r>
  <r>
    <s v="ORD0184"/>
    <x v="0"/>
    <s v="UK"/>
    <x v="1"/>
    <s v="Online"/>
    <s v="Medium"/>
    <d v="2023-07-03T00:00:00"/>
    <n v="84"/>
    <n v="283.89999999999998"/>
    <n v="19.41"/>
    <n v="23847.599999999999"/>
  </r>
  <r>
    <s v="ORD0185"/>
    <x v="2"/>
    <s v="Australia"/>
    <x v="1"/>
    <s v="Online"/>
    <s v="Medium"/>
    <d v="2023-07-04T00:00:00"/>
    <n v="381"/>
    <n v="193.31"/>
    <n v="46.1"/>
    <n v="73651.11"/>
  </r>
  <r>
    <s v="ORD0186"/>
    <x v="2"/>
    <s v="India"/>
    <x v="4"/>
    <s v="Offline"/>
    <s v="Low"/>
    <d v="2023-07-05T00:00:00"/>
    <n v="297"/>
    <n v="276.51"/>
    <n v="240.22"/>
    <n v="82123.47"/>
  </r>
  <r>
    <s v="ORD0187"/>
    <x v="3"/>
    <s v="Australia"/>
    <x v="2"/>
    <s v="Offline"/>
    <s v="Medium"/>
    <d v="2023-07-06T00:00:00"/>
    <n v="139"/>
    <n v="300.26"/>
    <n v="39.81"/>
    <n v="41736.14"/>
  </r>
  <r>
    <s v="ORD0188"/>
    <x v="0"/>
    <s v="Germany"/>
    <x v="2"/>
    <s v="Online"/>
    <s v="Low"/>
    <d v="2023-07-07T00:00:00"/>
    <n v="184"/>
    <n v="275.12"/>
    <n v="151.65"/>
    <n v="50622.080000000002"/>
  </r>
  <r>
    <s v="ORD0189"/>
    <x v="0"/>
    <s v="Australia"/>
    <x v="2"/>
    <s v="Online"/>
    <s v="High"/>
    <d v="2023-07-08T00:00:00"/>
    <n v="471"/>
    <n v="224.99"/>
    <n v="220.94"/>
    <n v="105970.29"/>
  </r>
  <r>
    <s v="ORD0190"/>
    <x v="3"/>
    <s v="India"/>
    <x v="0"/>
    <s v="Offline"/>
    <s v="Low"/>
    <d v="2023-07-09T00:00:00"/>
    <n v="93"/>
    <n v="12.26"/>
    <n v="156.68"/>
    <n v="1140.18"/>
  </r>
  <r>
    <s v="ORD0191"/>
    <x v="0"/>
    <s v="Germany"/>
    <x v="3"/>
    <s v="Online"/>
    <s v="High"/>
    <d v="2023-07-10T00:00:00"/>
    <n v="31"/>
    <n v="295.60000000000002"/>
    <n v="67.150000000000006"/>
    <n v="9163.6"/>
  </r>
  <r>
    <s v="ORD0192"/>
    <x v="0"/>
    <s v="Australia"/>
    <x v="0"/>
    <s v="Online"/>
    <s v="Low"/>
    <d v="2023-07-11T00:00:00"/>
    <n v="468"/>
    <n v="88.38"/>
    <n v="110.97"/>
    <n v="41361.839999999997"/>
  </r>
  <r>
    <s v="ORD0193"/>
    <x v="2"/>
    <s v="Germany"/>
    <x v="3"/>
    <s v="Online"/>
    <s v="Medium"/>
    <d v="2023-07-12T00:00:00"/>
    <n v="36"/>
    <n v="323.08"/>
    <n v="371.47"/>
    <n v="11630.88"/>
  </r>
  <r>
    <s v="ORD0194"/>
    <x v="0"/>
    <s v="USA"/>
    <x v="2"/>
    <s v="Offline"/>
    <s v="Low"/>
    <d v="2023-07-13T00:00:00"/>
    <n v="204"/>
    <n v="380.88"/>
    <n v="271.04000000000002"/>
    <n v="77699.520000000004"/>
  </r>
  <r>
    <s v="ORD0195"/>
    <x v="0"/>
    <s v="USA"/>
    <x v="2"/>
    <s v="Online"/>
    <s v="Low"/>
    <d v="2023-07-14T00:00:00"/>
    <n v="346"/>
    <n v="252.72"/>
    <n v="199.43"/>
    <n v="87441.12"/>
  </r>
  <r>
    <s v="ORD0196"/>
    <x v="3"/>
    <s v="Australia"/>
    <x v="0"/>
    <s v="Offline"/>
    <s v="High"/>
    <d v="2023-07-15T00:00:00"/>
    <n v="391"/>
    <n v="273.47000000000003"/>
    <n v="7.06"/>
    <n v="106926.77"/>
  </r>
  <r>
    <s v="ORD0197"/>
    <x v="3"/>
    <s v="Germany"/>
    <x v="0"/>
    <s v="Online"/>
    <s v="Medium"/>
    <d v="2023-07-16T00:00:00"/>
    <n v="245"/>
    <n v="475.98"/>
    <n v="396.98"/>
    <n v="116615.1"/>
  </r>
  <r>
    <s v="ORD0198"/>
    <x v="1"/>
    <s v="India"/>
    <x v="3"/>
    <s v="Offline"/>
    <s v="Low"/>
    <d v="2023-07-17T00:00:00"/>
    <n v="449"/>
    <n v="424.35"/>
    <n v="269.24"/>
    <n v="190533.15"/>
  </r>
  <r>
    <s v="ORD0199"/>
    <x v="2"/>
    <s v="Australia"/>
    <x v="1"/>
    <s v="Offline"/>
    <s v="Medium"/>
    <d v="2023-07-18T00:00:00"/>
    <n v="101"/>
    <n v="457.55"/>
    <n v="128.13999999999999"/>
    <n v="46212.55"/>
  </r>
  <r>
    <s v="ORD0200"/>
    <x v="0"/>
    <s v="USA"/>
    <x v="3"/>
    <s v="Online"/>
    <s v="Low"/>
    <d v="2023-07-19T00:00:00"/>
    <n v="248.5"/>
    <n v="407.81"/>
    <n v="351.95"/>
    <n v="101340.785"/>
  </r>
  <r>
    <s v="ORD0201"/>
    <x v="0"/>
    <s v="USA"/>
    <x v="0"/>
    <s v="Offline"/>
    <s v="Low"/>
    <d v="2023-07-20T00:00:00"/>
    <n v="30"/>
    <n v="58.91"/>
    <n v="104.86"/>
    <n v="1767.3"/>
  </r>
  <r>
    <s v="ORD0202"/>
    <x v="1"/>
    <s v="Australia"/>
    <x v="0"/>
    <s v="Online"/>
    <s v="Medium"/>
    <d v="2023-07-21T00:00:00"/>
    <n v="312"/>
    <n v="78.75"/>
    <n v="218.52"/>
    <n v="24570"/>
  </r>
  <r>
    <s v="ORD0203"/>
    <x v="0"/>
    <s v="Germany"/>
    <x v="4"/>
    <s v="Offline"/>
    <s v="Low"/>
    <d v="2023-07-22T00:00:00"/>
    <n v="473"/>
    <n v="265.68"/>
    <n v="255.16"/>
    <n v="125666.64"/>
  </r>
  <r>
    <s v="ORD0204"/>
    <x v="2"/>
    <s v="USA"/>
    <x v="0"/>
    <s v="Online"/>
    <s v="Medium"/>
    <d v="2023-07-23T00:00:00"/>
    <n v="366"/>
    <n v="126.8"/>
    <n v="89.98"/>
    <n v="46408.800000000003"/>
  </r>
  <r>
    <s v="ORD0205"/>
    <x v="1"/>
    <s v="Germany"/>
    <x v="4"/>
    <s v="Online"/>
    <s v="Low"/>
    <d v="2023-07-24T00:00:00"/>
    <n v="452"/>
    <n v="240.96"/>
    <n v="391.4"/>
    <n v="108913.92"/>
  </r>
  <r>
    <s v="ORD0206"/>
    <x v="2"/>
    <s v="USA"/>
    <x v="1"/>
    <s v="Offline"/>
    <s v="High"/>
    <d v="2023-07-25T00:00:00"/>
    <n v="93"/>
    <n v="200.21"/>
    <n v="299.77999999999997"/>
    <n v="18619.53"/>
  </r>
  <r>
    <s v="ORD0207"/>
    <x v="1"/>
    <s v="USA"/>
    <x v="3"/>
    <s v="Online"/>
    <s v="Medium"/>
    <d v="2023-07-26T00:00:00"/>
    <n v="271"/>
    <n v="276.95999999999998"/>
    <n v="224.01"/>
    <n v="75056.159999999989"/>
  </r>
  <r>
    <s v="ORD0208"/>
    <x v="1"/>
    <s v="UK"/>
    <x v="3"/>
    <s v="Online"/>
    <s v="Low"/>
    <d v="2023-07-27T00:00:00"/>
    <n v="156"/>
    <n v="374.7"/>
    <n v="73.88"/>
    <n v="58453.2"/>
  </r>
  <r>
    <s v="ORD0209"/>
    <x v="3"/>
    <s v="USA"/>
    <x v="4"/>
    <s v="Offline"/>
    <s v="Low"/>
    <d v="2023-07-28T00:00:00"/>
    <n v="450"/>
    <n v="359.17"/>
    <n v="23.44"/>
    <n v="161626.5"/>
  </r>
  <r>
    <s v="ORD0210"/>
    <x v="2"/>
    <s v="India"/>
    <x v="3"/>
    <s v="Online"/>
    <s v="High"/>
    <d v="2023-07-29T00:00:00"/>
    <n v="462"/>
    <n v="263.01"/>
    <n v="129.38"/>
    <n v="121510.62"/>
  </r>
  <r>
    <s v="ORD0211"/>
    <x v="0"/>
    <s v="Australia"/>
    <x v="0"/>
    <s v="Online"/>
    <s v="Medium"/>
    <d v="2023-07-30T00:00:00"/>
    <n v="396"/>
    <n v="412.08"/>
    <n v="301.77"/>
    <n v="163183.67999999999"/>
  </r>
  <r>
    <s v="ORD0212"/>
    <x v="0"/>
    <s v="Australia"/>
    <x v="2"/>
    <s v="Offline"/>
    <s v="Low"/>
    <d v="2023-07-31T00:00:00"/>
    <n v="266"/>
    <n v="218.28"/>
    <n v="109.19"/>
    <n v="58062.48"/>
  </r>
  <r>
    <s v="ORD0213"/>
    <x v="2"/>
    <s v="Germany"/>
    <x v="4"/>
    <s v="Offline"/>
    <s v="High"/>
    <d v="2023-08-01T00:00:00"/>
    <n v="67"/>
    <n v="448.87"/>
    <n v="216.74"/>
    <n v="30074.29"/>
  </r>
  <r>
    <s v="ORD0214"/>
    <x v="0"/>
    <s v="USA"/>
    <x v="3"/>
    <s v="Online"/>
    <s v="Low"/>
    <d v="2023-08-02T00:00:00"/>
    <n v="389"/>
    <n v="40.28"/>
    <n v="291.72000000000003"/>
    <n v="15668.92"/>
  </r>
  <r>
    <s v="ORD0215"/>
    <x v="0"/>
    <s v="India"/>
    <x v="4"/>
    <s v="Online"/>
    <s v="Medium"/>
    <d v="2023-08-03T00:00:00"/>
    <n v="431"/>
    <n v="477.56"/>
    <n v="44.96"/>
    <n v="205828.36"/>
  </r>
  <r>
    <s v="ORD0216"/>
    <x v="2"/>
    <s v="Germany"/>
    <x v="4"/>
    <s v="Offline"/>
    <s v="Low"/>
    <d v="2023-08-04T00:00:00"/>
    <n v="24"/>
    <n v="329.07"/>
    <n v="274.75"/>
    <n v="7897.68"/>
  </r>
  <r>
    <s v="ORD0217"/>
    <x v="1"/>
    <s v="UK"/>
    <x v="2"/>
    <s v="Offline"/>
    <s v="Low"/>
    <d v="2023-08-05T00:00:00"/>
    <n v="171"/>
    <n v="193.14"/>
    <n v="38.56"/>
    <n v="33026.94"/>
  </r>
  <r>
    <s v="ORD0218"/>
    <x v="2"/>
    <s v="Germany"/>
    <x v="0"/>
    <s v="Online"/>
    <s v="Low"/>
    <d v="2023-08-06T00:00:00"/>
    <n v="454"/>
    <n v="102.59"/>
    <n v="386.12"/>
    <n v="46575.86"/>
  </r>
  <r>
    <s v="ORD0219"/>
    <x v="1"/>
    <s v="Germany"/>
    <x v="4"/>
    <s v="Offline"/>
    <s v="Low"/>
    <d v="2023-08-07T00:00:00"/>
    <n v="172"/>
    <n v="242.2"/>
    <n v="196.38"/>
    <n v="41658.400000000001"/>
  </r>
  <r>
    <s v="ORD0220"/>
    <x v="0"/>
    <s v="USA"/>
    <x v="3"/>
    <s v="Online"/>
    <s v="High"/>
    <d v="2023-08-08T00:00:00"/>
    <n v="329"/>
    <n v="101.31"/>
    <n v="61.97"/>
    <n v="33330.99"/>
  </r>
  <r>
    <s v="ORD0221"/>
    <x v="0"/>
    <s v="UK"/>
    <x v="1"/>
    <s v="Online"/>
    <s v="High"/>
    <d v="2023-08-09T00:00:00"/>
    <n v="290"/>
    <n v="87.33"/>
    <n v="138.27000000000001"/>
    <n v="25325.7"/>
  </r>
  <r>
    <s v="ORD0222"/>
    <x v="1"/>
    <s v="Germany"/>
    <x v="4"/>
    <s v="Online"/>
    <s v="Medium"/>
    <d v="2023-08-10T00:00:00"/>
    <n v="289"/>
    <n v="310.58999999999997"/>
    <n v="166.54"/>
    <n v="89760.51"/>
  </r>
  <r>
    <s v="ORD0223"/>
    <x v="3"/>
    <s v="India"/>
    <x v="4"/>
    <s v="Online"/>
    <s v="High"/>
    <d v="2023-08-11T00:00:00"/>
    <n v="21"/>
    <n v="263.93"/>
    <n v="303.76"/>
    <n v="5542.53"/>
  </r>
  <r>
    <s v="ORD0224"/>
    <x v="1"/>
    <s v="India"/>
    <x v="2"/>
    <s v="Online"/>
    <s v="High"/>
    <d v="2023-08-12T00:00:00"/>
    <n v="283"/>
    <n v="336.7"/>
    <n v="297.88"/>
    <n v="95286.099999999991"/>
  </r>
  <r>
    <s v="ORD0225"/>
    <x v="3"/>
    <s v="Australia"/>
    <x v="0"/>
    <s v="Offline"/>
    <s v="Medium"/>
    <d v="2023-08-13T00:00:00"/>
    <n v="280"/>
    <n v="465.15"/>
    <n v="245.55"/>
    <n v="130242"/>
  </r>
  <r>
    <s v="ORD0226"/>
    <x v="3"/>
    <s v="UK"/>
    <x v="1"/>
    <s v="Offline"/>
    <s v="High"/>
    <d v="2023-08-14T00:00:00"/>
    <n v="217"/>
    <n v="268.47000000000003"/>
    <n v="44.16"/>
    <n v="58257.990000000013"/>
  </r>
  <r>
    <s v="ORD0227"/>
    <x v="2"/>
    <s v="UK"/>
    <x v="3"/>
    <s v="Offline"/>
    <s v="High"/>
    <d v="2023-08-15T00:00:00"/>
    <n v="36"/>
    <n v="292.56"/>
    <n v="62.32"/>
    <n v="10532.16"/>
  </r>
  <r>
    <s v="ORD0228"/>
    <x v="3"/>
    <s v="Australia"/>
    <x v="1"/>
    <s v="Offline"/>
    <s v="Medium"/>
    <d v="2023-08-16T00:00:00"/>
    <n v="248.5"/>
    <n v="49.37"/>
    <n v="39.32"/>
    <n v="12268.445"/>
  </r>
  <r>
    <s v="ORD0229"/>
    <x v="2"/>
    <s v="Germany"/>
    <x v="3"/>
    <s v="Online"/>
    <s v="Medium"/>
    <d v="2023-08-17T00:00:00"/>
    <n v="69"/>
    <n v="360.23"/>
    <n v="231.71"/>
    <n v="24855.87"/>
  </r>
  <r>
    <s v="ORD0230"/>
    <x v="2"/>
    <s v="UK"/>
    <x v="0"/>
    <s v="Online"/>
    <s v="Medium"/>
    <d v="2023-08-18T00:00:00"/>
    <n v="439"/>
    <n v="202.95"/>
    <n v="351.1"/>
    <n v="89095.049999999988"/>
  </r>
  <r>
    <s v="ORD0231"/>
    <x v="3"/>
    <s v="India"/>
    <x v="3"/>
    <s v="Online"/>
    <s v="Low"/>
    <d v="2023-08-19T00:00:00"/>
    <n v="482"/>
    <n v="488.48"/>
    <n v="174.65"/>
    <n v="235447.36"/>
  </r>
  <r>
    <s v="ORD0232"/>
    <x v="1"/>
    <s v="India"/>
    <x v="2"/>
    <s v="Online"/>
    <s v="Low"/>
    <d v="2023-08-20T00:00:00"/>
    <n v="154"/>
    <n v="412.47"/>
    <n v="66.02"/>
    <n v="63520.38"/>
  </r>
  <r>
    <s v="ORD0233"/>
    <x v="1"/>
    <s v="USA"/>
    <x v="2"/>
    <s v="Offline"/>
    <s v="Medium"/>
    <d v="2023-08-21T00:00:00"/>
    <n v="102"/>
    <n v="263.63"/>
    <n v="224.1"/>
    <n v="26890.26"/>
  </r>
  <r>
    <s v="ORD0234"/>
    <x v="1"/>
    <s v="UK"/>
    <x v="2"/>
    <s v="Online"/>
    <s v="Medium"/>
    <d v="2023-08-22T00:00:00"/>
    <n v="318"/>
    <n v="66"/>
    <n v="325.08"/>
    <n v="20988"/>
  </r>
  <r>
    <s v="ORD0235"/>
    <x v="1"/>
    <s v="Germany"/>
    <x v="2"/>
    <s v="Online"/>
    <s v="Medium"/>
    <d v="2023-08-23T00:00:00"/>
    <n v="17"/>
    <n v="430.41"/>
    <n v="297.2"/>
    <n v="7316.97"/>
  </r>
  <r>
    <s v="ORD0236"/>
    <x v="1"/>
    <s v="Australia"/>
    <x v="1"/>
    <s v="Offline"/>
    <s v="Low"/>
    <d v="2023-08-24T00:00:00"/>
    <n v="88"/>
    <n v="400.89"/>
    <n v="352.82"/>
    <n v="35278.32"/>
  </r>
  <r>
    <s v="ORD0237"/>
    <x v="3"/>
    <s v="Australia"/>
    <x v="0"/>
    <s v="Offline"/>
    <s v="Low"/>
    <d v="2023-08-25T00:00:00"/>
    <n v="36"/>
    <n v="96.37"/>
    <n v="112.61"/>
    <n v="3469.32"/>
  </r>
  <r>
    <s v="ORD0238"/>
    <x v="3"/>
    <s v="Germany"/>
    <x v="3"/>
    <s v="Offline"/>
    <s v="High"/>
    <d v="2023-08-26T00:00:00"/>
    <n v="183"/>
    <n v="151.16"/>
    <n v="79.19"/>
    <n v="27662.28"/>
  </r>
  <r>
    <s v="ORD0239"/>
    <x v="0"/>
    <s v="USA"/>
    <x v="3"/>
    <s v="Offline"/>
    <s v="High"/>
    <d v="2023-08-27T00:00:00"/>
    <n v="59"/>
    <n v="397.74"/>
    <n v="352.17"/>
    <n v="23466.66"/>
  </r>
  <r>
    <s v="ORD0240"/>
    <x v="1"/>
    <s v="Australia"/>
    <x v="2"/>
    <s v="Online"/>
    <s v="Medium"/>
    <d v="2023-08-28T00:00:00"/>
    <n v="208"/>
    <n v="96.69"/>
    <n v="263.70999999999998"/>
    <n v="20111.52"/>
  </r>
  <r>
    <s v="ORD0241"/>
    <x v="3"/>
    <s v="UK"/>
    <x v="2"/>
    <s v="Online"/>
    <s v="Low"/>
    <d v="2023-08-29T00:00:00"/>
    <n v="396"/>
    <n v="459.29"/>
    <n v="125.75"/>
    <n v="181878.84"/>
  </r>
  <r>
    <s v="ORD0242"/>
    <x v="0"/>
    <s v="USA"/>
    <x v="4"/>
    <s v="Offline"/>
    <s v="Low"/>
    <d v="2023-08-30T00:00:00"/>
    <n v="358"/>
    <n v="215.14"/>
    <n v="297.45"/>
    <n v="77020.12"/>
  </r>
  <r>
    <s v="ORD0243"/>
    <x v="1"/>
    <s v="UK"/>
    <x v="0"/>
    <s v="Online"/>
    <s v="Low"/>
    <d v="2023-08-31T00:00:00"/>
    <n v="457"/>
    <n v="48.08"/>
    <n v="326.42"/>
    <n v="21972.560000000001"/>
  </r>
  <r>
    <s v="ORD0244"/>
    <x v="2"/>
    <s v="India"/>
    <x v="1"/>
    <s v="Online"/>
    <s v="Medium"/>
    <d v="2023-09-01T00:00:00"/>
    <n v="437"/>
    <n v="408.8"/>
    <n v="246.76"/>
    <n v="178645.6"/>
  </r>
  <r>
    <s v="ORD0245"/>
    <x v="0"/>
    <s v="USA"/>
    <x v="3"/>
    <s v="Online"/>
    <s v="High"/>
    <d v="2023-09-02T00:00:00"/>
    <n v="190"/>
    <n v="189.89"/>
    <n v="275.77999999999997"/>
    <n v="36079.1"/>
  </r>
  <r>
    <s v="ORD0246"/>
    <x v="3"/>
    <s v="Australia"/>
    <x v="4"/>
    <s v="Offline"/>
    <s v="Medium"/>
    <d v="2023-09-03T00:00:00"/>
    <n v="33"/>
    <n v="265.62"/>
    <n v="151.35"/>
    <n v="8765.4600000000009"/>
  </r>
  <r>
    <s v="ORD0247"/>
    <x v="2"/>
    <s v="USA"/>
    <x v="4"/>
    <s v="Online"/>
    <s v="High"/>
    <d v="2023-09-04T00:00:00"/>
    <n v="325"/>
    <n v="60.59"/>
    <n v="216.4"/>
    <n v="19691.75"/>
  </r>
  <r>
    <s v="ORD0248"/>
    <x v="2"/>
    <s v="USA"/>
    <x v="3"/>
    <s v="Offline"/>
    <s v="High"/>
    <d v="2023-09-05T00:00:00"/>
    <n v="387"/>
    <n v="6.28"/>
    <n v="210.62"/>
    <n v="2430.36"/>
  </r>
  <r>
    <s v="ORD0249"/>
    <x v="2"/>
    <s v="USA"/>
    <x v="1"/>
    <s v="Online"/>
    <s v="Medium"/>
    <d v="2023-09-06T00:00:00"/>
    <n v="396"/>
    <n v="320.8"/>
    <n v="339.52"/>
    <n v="127036.8"/>
  </r>
  <r>
    <s v="ORD0250"/>
    <x v="0"/>
    <s v="USA"/>
    <x v="4"/>
    <s v="Online"/>
    <s v="High"/>
    <d v="2023-09-07T00:00:00"/>
    <n v="413"/>
    <n v="260.01"/>
    <n v="336.31"/>
    <n v="107384.13"/>
  </r>
  <r>
    <s v="ORD0251"/>
    <x v="3"/>
    <s v="UK"/>
    <x v="4"/>
    <s v="Online"/>
    <s v="High"/>
    <d v="2023-09-08T00:00:00"/>
    <n v="248.5"/>
    <n v="298.8"/>
    <n v="333.41"/>
    <n v="74251.8"/>
  </r>
  <r>
    <s v="ORD0252"/>
    <x v="2"/>
    <s v="India"/>
    <x v="0"/>
    <s v="Offline"/>
    <s v="Low"/>
    <d v="2023-09-09T00:00:00"/>
    <n v="24"/>
    <n v="397.9"/>
    <n v="6.39"/>
    <n v="9549.5999999999985"/>
  </r>
  <r>
    <s v="ORD0253"/>
    <x v="1"/>
    <s v="Germany"/>
    <x v="0"/>
    <s v="Online"/>
    <s v="High"/>
    <d v="2023-09-10T00:00:00"/>
    <n v="162"/>
    <n v="325.07"/>
    <n v="300.32"/>
    <n v="52661.34"/>
  </r>
  <r>
    <s v="ORD0254"/>
    <x v="2"/>
    <s v="USA"/>
    <x v="4"/>
    <s v="Offline"/>
    <s v="Medium"/>
    <d v="2023-09-11T00:00:00"/>
    <n v="231"/>
    <n v="91.51"/>
    <n v="303.95"/>
    <n v="21138.81"/>
  </r>
  <r>
    <s v="ORD0255"/>
    <x v="2"/>
    <s v="Australia"/>
    <x v="1"/>
    <s v="Offline"/>
    <s v="Medium"/>
    <d v="2023-09-12T00:00:00"/>
    <n v="215"/>
    <n v="183.58"/>
    <n v="271.99"/>
    <n v="39469.699999999997"/>
  </r>
  <r>
    <s v="ORD0256"/>
    <x v="0"/>
    <s v="USA"/>
    <x v="3"/>
    <s v="Offline"/>
    <s v="High"/>
    <d v="2023-09-13T00:00:00"/>
    <n v="464"/>
    <n v="453.42"/>
    <n v="302.99"/>
    <n v="210386.88"/>
  </r>
  <r>
    <s v="ORD0257"/>
    <x v="0"/>
    <s v="Australia"/>
    <x v="2"/>
    <s v="Online"/>
    <s v="Low"/>
    <d v="2023-09-14T00:00:00"/>
    <n v="282"/>
    <n v="255.39500000000001"/>
    <n v="337.1"/>
    <n v="72021.39"/>
  </r>
  <r>
    <s v="ORD0258"/>
    <x v="3"/>
    <s v="UK"/>
    <x v="4"/>
    <s v="Online"/>
    <s v="Low"/>
    <d v="2023-09-15T00:00:00"/>
    <n v="391"/>
    <n v="280.54000000000002"/>
    <n v="189.19"/>
    <n v="109691.14"/>
  </r>
  <r>
    <s v="ORD0259"/>
    <x v="1"/>
    <s v="Australia"/>
    <x v="0"/>
    <s v="Online"/>
    <s v="High"/>
    <d v="2023-09-16T00:00:00"/>
    <n v="245"/>
    <n v="131.54"/>
    <n v="201.82"/>
    <n v="32227.3"/>
  </r>
  <r>
    <s v="ORD0260"/>
    <x v="0"/>
    <s v="Germany"/>
    <x v="3"/>
    <s v="Online"/>
    <s v="High"/>
    <d v="2023-09-17T00:00:00"/>
    <n v="349"/>
    <n v="154.52000000000001"/>
    <n v="51.64"/>
    <n v="53927.48"/>
  </r>
  <r>
    <s v="ORD0261"/>
    <x v="2"/>
    <s v="India"/>
    <x v="1"/>
    <s v="Offline"/>
    <s v="Medium"/>
    <d v="2023-09-18T00:00:00"/>
    <n v="237"/>
    <n v="255.39500000000001"/>
    <n v="155.38"/>
    <n v="60528.615000000013"/>
  </r>
  <r>
    <s v="ORD0262"/>
    <x v="3"/>
    <s v="Australia"/>
    <x v="3"/>
    <s v="Offline"/>
    <s v="High"/>
    <d v="2023-09-19T00:00:00"/>
    <n v="18"/>
    <n v="426.33"/>
    <n v="258.06"/>
    <n v="7673.94"/>
  </r>
  <r>
    <s v="ORD0263"/>
    <x v="2"/>
    <s v="Australia"/>
    <x v="4"/>
    <s v="Offline"/>
    <s v="Low"/>
    <d v="2023-09-20T00:00:00"/>
    <n v="175"/>
    <n v="337.36"/>
    <n v="312.60000000000002"/>
    <n v="59038"/>
  </r>
  <r>
    <s v="ORD0264"/>
    <x v="2"/>
    <s v="India"/>
    <x v="0"/>
    <s v="Online"/>
    <s v="High"/>
    <d v="2023-09-21T00:00:00"/>
    <n v="441"/>
    <n v="405.72"/>
    <n v="88.45"/>
    <n v="178922.52"/>
  </r>
  <r>
    <s v="ORD0265"/>
    <x v="0"/>
    <s v="Germany"/>
    <x v="2"/>
    <s v="Offline"/>
    <s v="Medium"/>
    <d v="2023-09-22T00:00:00"/>
    <n v="453"/>
    <n v="384.49"/>
    <n v="56.85"/>
    <n v="174173.97"/>
  </r>
  <r>
    <s v="ORD0266"/>
    <x v="3"/>
    <s v="USA"/>
    <x v="3"/>
    <s v="Online"/>
    <s v="Medium"/>
    <d v="2023-09-23T00:00:00"/>
    <n v="328"/>
    <n v="79.099999999999994"/>
    <n v="265.89"/>
    <n v="25944.799999999999"/>
  </r>
  <r>
    <s v="ORD0267"/>
    <x v="1"/>
    <s v="Australia"/>
    <x v="4"/>
    <s v="Offline"/>
    <s v="Medium"/>
    <d v="2023-09-24T00:00:00"/>
    <n v="223"/>
    <n v="214.85"/>
    <n v="2.75"/>
    <n v="47911.55"/>
  </r>
  <r>
    <s v="ORD0268"/>
    <x v="1"/>
    <s v="India"/>
    <x v="0"/>
    <s v="Online"/>
    <s v="Medium"/>
    <d v="2023-09-25T00:00:00"/>
    <n v="126"/>
    <n v="80.73"/>
    <n v="72.989999999999995"/>
    <n v="10171.98"/>
  </r>
  <r>
    <s v="ORD0269"/>
    <x v="0"/>
    <s v="UK"/>
    <x v="1"/>
    <s v="Online"/>
    <s v="Medium"/>
    <d v="2023-09-26T00:00:00"/>
    <n v="395"/>
    <n v="121.44"/>
    <n v="13.57"/>
    <n v="47968.800000000003"/>
  </r>
  <r>
    <s v="ORD0270"/>
    <x v="0"/>
    <s v="India"/>
    <x v="3"/>
    <s v="Offline"/>
    <s v="High"/>
    <d v="2023-09-27T00:00:00"/>
    <n v="353"/>
    <n v="435.28"/>
    <n v="68.42"/>
    <n v="153653.84"/>
  </r>
  <r>
    <s v="ORD0271"/>
    <x v="3"/>
    <s v="UK"/>
    <x v="3"/>
    <s v="Offline"/>
    <s v="High"/>
    <d v="2023-09-28T00:00:00"/>
    <n v="81"/>
    <n v="239.08"/>
    <n v="74.17"/>
    <n v="19365.48"/>
  </r>
  <r>
    <s v="ORD0272"/>
    <x v="1"/>
    <s v="Germany"/>
    <x v="2"/>
    <s v="Offline"/>
    <s v="High"/>
    <d v="2023-09-29T00:00:00"/>
    <n v="404"/>
    <n v="270"/>
    <n v="156.29"/>
    <n v="109080"/>
  </r>
  <r>
    <s v="ORD0273"/>
    <x v="1"/>
    <s v="USA"/>
    <x v="2"/>
    <s v="Offline"/>
    <s v="High"/>
    <d v="2023-09-30T00:00:00"/>
    <n v="73"/>
    <n v="93.33"/>
    <n v="162.13"/>
    <n v="6813.09"/>
  </r>
  <r>
    <s v="ORD0274"/>
    <x v="1"/>
    <s v="India"/>
    <x v="0"/>
    <s v="Online"/>
    <s v="Medium"/>
    <d v="2023-10-01T00:00:00"/>
    <n v="214"/>
    <n v="159.57"/>
    <n v="349.96"/>
    <n v="34147.980000000003"/>
  </r>
  <r>
    <s v="ORD0275"/>
    <x v="2"/>
    <s v="Australia"/>
    <x v="0"/>
    <s v="Offline"/>
    <s v="Low"/>
    <d v="2023-10-02T00:00:00"/>
    <n v="218"/>
    <n v="118.97"/>
    <n v="205.02"/>
    <n v="25935.46"/>
  </r>
  <r>
    <s v="ORD0276"/>
    <x v="1"/>
    <s v="Germany"/>
    <x v="4"/>
    <s v="Offline"/>
    <s v="High"/>
    <d v="2023-10-03T00:00:00"/>
    <n v="81"/>
    <n v="107.06"/>
    <n v="289.92"/>
    <n v="8671.86"/>
  </r>
  <r>
    <s v="ORD0277"/>
    <x v="2"/>
    <s v="India"/>
    <x v="4"/>
    <s v="Offline"/>
    <s v="Low"/>
    <d v="2023-10-04T00:00:00"/>
    <n v="286"/>
    <n v="320.79000000000002"/>
    <n v="43.45"/>
    <n v="91745.94"/>
  </r>
  <r>
    <s v="ORD0278"/>
    <x v="3"/>
    <s v="Australia"/>
    <x v="0"/>
    <s v="Online"/>
    <s v="High"/>
    <d v="2023-10-05T00:00:00"/>
    <n v="283"/>
    <n v="132.16"/>
    <n v="91.72"/>
    <n v="37401.279999999999"/>
  </r>
  <r>
    <s v="ORD0279"/>
    <x v="2"/>
    <s v="India"/>
    <x v="0"/>
    <s v="Online"/>
    <s v="High"/>
    <d v="2023-10-06T00:00:00"/>
    <n v="487"/>
    <n v="317.85000000000002"/>
    <n v="281.77"/>
    <n v="154792.95000000001"/>
  </r>
  <r>
    <s v="ORD0280"/>
    <x v="3"/>
    <s v="UK"/>
    <x v="1"/>
    <s v="Offline"/>
    <s v="Low"/>
    <d v="2023-10-07T00:00:00"/>
    <n v="329"/>
    <n v="33.94"/>
    <n v="23.02"/>
    <n v="11166.26"/>
  </r>
  <r>
    <s v="ORD0281"/>
    <x v="1"/>
    <s v="India"/>
    <x v="2"/>
    <s v="Online"/>
    <s v="Medium"/>
    <d v="2023-10-08T00:00:00"/>
    <n v="347"/>
    <n v="75.180000000000007"/>
    <n v="195.67"/>
    <n v="26087.46"/>
  </r>
  <r>
    <s v="ORD0282"/>
    <x v="1"/>
    <s v="India"/>
    <x v="4"/>
    <s v="Offline"/>
    <s v="High"/>
    <d v="2023-10-09T00:00:00"/>
    <n v="375"/>
    <n v="140.9"/>
    <n v="240.55"/>
    <n v="52837.5"/>
  </r>
  <r>
    <s v="ORD0283"/>
    <x v="3"/>
    <s v="India"/>
    <x v="2"/>
    <s v="Online"/>
    <s v="High"/>
    <d v="2023-10-10T00:00:00"/>
    <n v="104"/>
    <n v="300.54000000000002"/>
    <n v="241.65"/>
    <n v="31256.16"/>
  </r>
  <r>
    <s v="ORD0284"/>
    <x v="0"/>
    <s v="Germany"/>
    <x v="0"/>
    <s v="Online"/>
    <s v="High"/>
    <d v="2023-10-11T00:00:00"/>
    <n v="175"/>
    <n v="339.54"/>
    <n v="11.13"/>
    <n v="59419.5"/>
  </r>
  <r>
    <s v="ORD0285"/>
    <x v="3"/>
    <s v="India"/>
    <x v="0"/>
    <s v="Online"/>
    <s v="Low"/>
    <d v="2023-10-12T00:00:00"/>
    <n v="41"/>
    <n v="224.14"/>
    <n v="130.19999999999999"/>
    <n v="9189.74"/>
  </r>
  <r>
    <s v="ORD0286"/>
    <x v="0"/>
    <s v="Australia"/>
    <x v="1"/>
    <s v="Online"/>
    <s v="Medium"/>
    <d v="2023-10-13T00:00:00"/>
    <n v="20"/>
    <n v="225.67"/>
    <n v="255.32"/>
    <n v="4513.3999999999996"/>
  </r>
  <r>
    <s v="ORD0287"/>
    <x v="2"/>
    <s v="UK"/>
    <x v="3"/>
    <s v="Offline"/>
    <s v="Low"/>
    <d v="2023-10-14T00:00:00"/>
    <n v="310"/>
    <n v="363.64"/>
    <n v="61.3"/>
    <n v="112728.4"/>
  </r>
  <r>
    <s v="ORD0288"/>
    <x v="2"/>
    <s v="UK"/>
    <x v="1"/>
    <s v="Offline"/>
    <s v="Low"/>
    <d v="2023-10-15T00:00:00"/>
    <n v="226"/>
    <n v="255.39500000000001"/>
    <n v="278.77999999999997"/>
    <n v="57719.27"/>
  </r>
  <r>
    <s v="ORD0289"/>
    <x v="2"/>
    <s v="India"/>
    <x v="1"/>
    <s v="Offline"/>
    <s v="Medium"/>
    <d v="2023-10-16T00:00:00"/>
    <n v="248.5"/>
    <n v="173.84"/>
    <n v="298.88"/>
    <n v="43199.24"/>
  </r>
  <r>
    <s v="ORD0290"/>
    <x v="1"/>
    <s v="Germany"/>
    <x v="2"/>
    <s v="Online"/>
    <s v="Low"/>
    <d v="2023-10-17T00:00:00"/>
    <n v="111"/>
    <n v="410.26"/>
    <n v="392.82"/>
    <n v="45538.86"/>
  </r>
  <r>
    <s v="ORD0291"/>
    <x v="2"/>
    <s v="Germany"/>
    <x v="1"/>
    <s v="Offline"/>
    <s v="Medium"/>
    <d v="2023-10-18T00:00:00"/>
    <n v="434"/>
    <n v="303.58999999999997"/>
    <n v="85.52"/>
    <n v="131758.06"/>
  </r>
  <r>
    <s v="ORD0292"/>
    <x v="0"/>
    <s v="Australia"/>
    <x v="4"/>
    <s v="Offline"/>
    <s v="High"/>
    <d v="2023-10-19T00:00:00"/>
    <n v="401"/>
    <n v="171.93"/>
    <n v="330.4"/>
    <n v="68943.930000000008"/>
  </r>
  <r>
    <s v="ORD0293"/>
    <x v="2"/>
    <s v="India"/>
    <x v="2"/>
    <s v="Offline"/>
    <s v="Medium"/>
    <d v="2023-10-20T00:00:00"/>
    <n v="276"/>
    <n v="453.23"/>
    <n v="209.08"/>
    <n v="125091.48"/>
  </r>
  <r>
    <s v="ORD0294"/>
    <x v="3"/>
    <s v="UK"/>
    <x v="4"/>
    <s v="Online"/>
    <s v="High"/>
    <d v="2023-10-21T00:00:00"/>
    <n v="248.5"/>
    <n v="387.45"/>
    <n v="150.63999999999999"/>
    <n v="96281.324999999997"/>
  </r>
  <r>
    <s v="ORD0295"/>
    <x v="3"/>
    <s v="Germany"/>
    <x v="3"/>
    <s v="Online"/>
    <s v="Low"/>
    <d v="2023-10-22T00:00:00"/>
    <n v="188"/>
    <n v="136.12"/>
    <n v="50.71"/>
    <n v="25590.560000000001"/>
  </r>
  <r>
    <s v="ORD0296"/>
    <x v="1"/>
    <s v="India"/>
    <x v="2"/>
    <s v="Online"/>
    <s v="Low"/>
    <d v="2023-10-23T00:00:00"/>
    <n v="97"/>
    <n v="324.42"/>
    <n v="294.73"/>
    <n v="31468.74"/>
  </r>
  <r>
    <s v="ORD0297"/>
    <x v="3"/>
    <s v="Germany"/>
    <x v="3"/>
    <s v="Offline"/>
    <s v="High"/>
    <d v="2023-10-24T00:00:00"/>
    <n v="50"/>
    <n v="299.89999999999998"/>
    <n v="95.87"/>
    <n v="14995"/>
  </r>
  <r>
    <s v="ORD0298"/>
    <x v="0"/>
    <s v="Germany"/>
    <x v="2"/>
    <s v="Offline"/>
    <s v="Low"/>
    <d v="2023-10-25T00:00:00"/>
    <n v="410"/>
    <n v="203.59"/>
    <n v="149.83000000000001"/>
    <n v="83471.899999999994"/>
  </r>
  <r>
    <s v="ORD0299"/>
    <x v="2"/>
    <s v="UK"/>
    <x v="0"/>
    <s v="Offline"/>
    <s v="Medium"/>
    <d v="2023-10-26T00:00:00"/>
    <n v="85"/>
    <n v="186.64"/>
    <n v="26.89"/>
    <n v="15864.4"/>
  </r>
  <r>
    <s v="ORD0300"/>
    <x v="1"/>
    <s v="USA"/>
    <x v="1"/>
    <s v="Online"/>
    <s v="High"/>
    <d v="2023-10-27T00:00:00"/>
    <n v="386"/>
    <n v="175.06"/>
    <n v="320.94"/>
    <n v="67573.16"/>
  </r>
  <r>
    <s v="ORD0301"/>
    <x v="2"/>
    <s v="Australia"/>
    <x v="0"/>
    <s v="Online"/>
    <s v="Low"/>
    <d v="2023-10-28T00:00:00"/>
    <n v="55"/>
    <n v="310.49"/>
    <n v="307.10000000000002"/>
    <n v="17076.95"/>
  </r>
  <r>
    <s v="ORD0302"/>
    <x v="2"/>
    <s v="Australia"/>
    <x v="3"/>
    <s v="Offline"/>
    <s v="High"/>
    <d v="2023-10-29T00:00:00"/>
    <n v="169"/>
    <n v="223.99"/>
    <n v="293.98"/>
    <n v="37854.31"/>
  </r>
  <r>
    <s v="ORD0303"/>
    <x v="0"/>
    <s v="UK"/>
    <x v="1"/>
    <s v="Online"/>
    <s v="Medium"/>
    <d v="2023-10-30T00:00:00"/>
    <n v="472"/>
    <n v="416.77"/>
    <n v="121.18"/>
    <n v="196715.44"/>
  </r>
  <r>
    <s v="ORD0304"/>
    <x v="3"/>
    <s v="Germany"/>
    <x v="2"/>
    <s v="Online"/>
    <s v="Medium"/>
    <d v="2023-10-31T00:00:00"/>
    <n v="89"/>
    <n v="336.45"/>
    <n v="71.05"/>
    <n v="29944.05"/>
  </r>
  <r>
    <s v="ORD0305"/>
    <x v="3"/>
    <s v="India"/>
    <x v="1"/>
    <s v="Online"/>
    <s v="Low"/>
    <d v="2023-11-01T00:00:00"/>
    <n v="319"/>
    <n v="39.619999999999997"/>
    <n v="255.75"/>
    <n v="12638.78"/>
  </r>
  <r>
    <s v="ORD0306"/>
    <x v="2"/>
    <s v="Germany"/>
    <x v="0"/>
    <s v="Online"/>
    <s v="Medium"/>
    <d v="2023-11-02T00:00:00"/>
    <n v="95"/>
    <n v="321.88"/>
    <n v="199.47"/>
    <n v="30578.6"/>
  </r>
  <r>
    <s v="ORD0307"/>
    <x v="1"/>
    <s v="UK"/>
    <x v="0"/>
    <s v="Offline"/>
    <s v="High"/>
    <d v="2023-11-03T00:00:00"/>
    <n v="101"/>
    <n v="139.22"/>
    <n v="72.94"/>
    <n v="14061.22"/>
  </r>
  <r>
    <s v="ORD0308"/>
    <x v="3"/>
    <s v="Australia"/>
    <x v="0"/>
    <s v="Online"/>
    <s v="Medium"/>
    <d v="2023-11-04T00:00:00"/>
    <n v="157"/>
    <n v="255.39500000000001"/>
    <n v="274.99"/>
    <n v="40097.014999999999"/>
  </r>
  <r>
    <s v="ORD0309"/>
    <x v="1"/>
    <s v="Germany"/>
    <x v="1"/>
    <s v="Online"/>
    <s v="High"/>
    <d v="2023-11-05T00:00:00"/>
    <n v="170"/>
    <n v="341.67"/>
    <n v="396.47"/>
    <n v="58083.9"/>
  </r>
  <r>
    <s v="ORD0310"/>
    <x v="3"/>
    <s v="Australia"/>
    <x v="4"/>
    <s v="Online"/>
    <s v="High"/>
    <d v="2023-11-06T00:00:00"/>
    <n v="211"/>
    <n v="119.26"/>
    <n v="299.39"/>
    <n v="25163.86"/>
  </r>
  <r>
    <s v="ORD0311"/>
    <x v="1"/>
    <s v="India"/>
    <x v="3"/>
    <s v="Online"/>
    <s v="Medium"/>
    <d v="2023-11-07T00:00:00"/>
    <n v="433"/>
    <n v="231.15"/>
    <n v="296.51"/>
    <n v="100087.95"/>
  </r>
  <r>
    <s v="ORD0312"/>
    <x v="0"/>
    <s v="Australia"/>
    <x v="0"/>
    <s v="Offline"/>
    <s v="Low"/>
    <d v="2023-11-08T00:00:00"/>
    <n v="425"/>
    <n v="99.21"/>
    <n v="380.22"/>
    <n v="42164.25"/>
  </r>
  <r>
    <s v="ORD0313"/>
    <x v="1"/>
    <s v="Australia"/>
    <x v="2"/>
    <s v="Offline"/>
    <s v="Medium"/>
    <d v="2023-11-09T00:00:00"/>
    <n v="251"/>
    <n v="30.91"/>
    <n v="82.77"/>
    <n v="7758.41"/>
  </r>
  <r>
    <s v="ORD0314"/>
    <x v="0"/>
    <s v="USA"/>
    <x v="1"/>
    <s v="Online"/>
    <s v="High"/>
    <d v="2023-11-10T00:00:00"/>
    <n v="248.5"/>
    <n v="192.35"/>
    <n v="227.09"/>
    <n v="47798.974999999999"/>
  </r>
  <r>
    <s v="ORD0315"/>
    <x v="0"/>
    <s v="USA"/>
    <x v="0"/>
    <s v="Online"/>
    <s v="High"/>
    <d v="2023-11-11T00:00:00"/>
    <n v="11"/>
    <n v="184.66"/>
    <n v="391.9"/>
    <n v="2031.26"/>
  </r>
  <r>
    <s v="ORD0316"/>
    <x v="1"/>
    <s v="USA"/>
    <x v="2"/>
    <s v="Online"/>
    <s v="Medium"/>
    <d v="2023-11-12T00:00:00"/>
    <n v="234"/>
    <n v="497.76"/>
    <n v="67.790000000000006"/>
    <n v="116475.84"/>
  </r>
  <r>
    <s v="ORD0317"/>
    <x v="0"/>
    <s v="Australia"/>
    <x v="2"/>
    <s v="Online"/>
    <s v="Low"/>
    <d v="2023-11-13T00:00:00"/>
    <n v="248.5"/>
    <n v="225.94"/>
    <n v="280.7"/>
    <n v="56146.09"/>
  </r>
  <r>
    <s v="ORD0318"/>
    <x v="2"/>
    <s v="UK"/>
    <x v="4"/>
    <s v="Online"/>
    <s v="Low"/>
    <d v="2023-11-14T00:00:00"/>
    <n v="242"/>
    <n v="170.12"/>
    <n v="235.15"/>
    <n v="41169.040000000001"/>
  </r>
  <r>
    <s v="ORD0319"/>
    <x v="0"/>
    <s v="Australia"/>
    <x v="3"/>
    <s v="Online"/>
    <s v="High"/>
    <d v="2023-11-15T00:00:00"/>
    <n v="470"/>
    <n v="292.33999999999997"/>
    <n v="235.42"/>
    <n v="137399.79999999999"/>
  </r>
  <r>
    <s v="ORD0320"/>
    <x v="3"/>
    <s v="UK"/>
    <x v="3"/>
    <s v="Offline"/>
    <s v="High"/>
    <d v="2023-11-16T00:00:00"/>
    <n v="423"/>
    <n v="48.94"/>
    <n v="279.67"/>
    <n v="20701.62"/>
  </r>
  <r>
    <s v="ORD0321"/>
    <x v="1"/>
    <s v="UK"/>
    <x v="0"/>
    <s v="Online"/>
    <s v="Low"/>
    <d v="2023-11-17T00:00:00"/>
    <n v="426"/>
    <n v="481.02"/>
    <n v="371.99"/>
    <n v="204914.52"/>
  </r>
  <r>
    <s v="ORD0322"/>
    <x v="2"/>
    <s v="USA"/>
    <x v="3"/>
    <s v="Offline"/>
    <s v="Medium"/>
    <d v="2023-11-18T00:00:00"/>
    <n v="86"/>
    <n v="319.31"/>
    <n v="313.47000000000003"/>
    <n v="27460.66"/>
  </r>
  <r>
    <s v="ORD0323"/>
    <x v="1"/>
    <s v="Germany"/>
    <x v="1"/>
    <s v="Offline"/>
    <s v="High"/>
    <d v="2023-11-19T00:00:00"/>
    <n v="125"/>
    <n v="378.64"/>
    <n v="24.34"/>
    <n v="47330"/>
  </r>
  <r>
    <s v="ORD0324"/>
    <x v="3"/>
    <s v="India"/>
    <x v="0"/>
    <s v="Online"/>
    <s v="High"/>
    <d v="2023-11-20T00:00:00"/>
    <n v="163"/>
    <n v="89.39"/>
    <n v="341.39"/>
    <n v="14570.57"/>
  </r>
  <r>
    <s v="ORD0325"/>
    <x v="3"/>
    <s v="USA"/>
    <x v="0"/>
    <s v="Offline"/>
    <s v="Low"/>
    <d v="2023-11-21T00:00:00"/>
    <n v="415"/>
    <n v="207.69"/>
    <n v="91.77"/>
    <n v="86191.35"/>
  </r>
  <r>
    <s v="ORD0326"/>
    <x v="3"/>
    <s v="USA"/>
    <x v="3"/>
    <s v="Offline"/>
    <s v="Medium"/>
    <d v="2023-11-22T00:00:00"/>
    <n v="112"/>
    <n v="214.23"/>
    <n v="152.01"/>
    <n v="23993.759999999998"/>
  </r>
  <r>
    <s v="ORD0327"/>
    <x v="0"/>
    <s v="Germany"/>
    <x v="1"/>
    <s v="Offline"/>
    <s v="Low"/>
    <d v="2023-11-23T00:00:00"/>
    <n v="203"/>
    <n v="411.79"/>
    <n v="185.77"/>
    <n v="83593.37000000001"/>
  </r>
  <r>
    <s v="ORD0328"/>
    <x v="0"/>
    <s v="India"/>
    <x v="4"/>
    <s v="Offline"/>
    <s v="Medium"/>
    <d v="2023-11-24T00:00:00"/>
    <n v="248.5"/>
    <n v="5.61"/>
    <n v="193.4"/>
    <n v="1394.085"/>
  </r>
  <r>
    <s v="ORD0329"/>
    <x v="1"/>
    <s v="Australia"/>
    <x v="0"/>
    <s v="Offline"/>
    <s v="Medium"/>
    <d v="2023-11-25T00:00:00"/>
    <n v="368"/>
    <n v="153.91999999999999"/>
    <n v="175.2"/>
    <n v="56642.559999999998"/>
  </r>
  <r>
    <s v="ORD0330"/>
    <x v="1"/>
    <s v="Australia"/>
    <x v="4"/>
    <s v="Offline"/>
    <s v="Medium"/>
    <d v="2023-11-26T00:00:00"/>
    <n v="99"/>
    <n v="490.71"/>
    <n v="375.07"/>
    <n v="48580.29"/>
  </r>
  <r>
    <s v="ORD0331"/>
    <x v="2"/>
    <s v="USA"/>
    <x v="4"/>
    <s v="Online"/>
    <s v="High"/>
    <d v="2023-11-27T00:00:00"/>
    <n v="183"/>
    <n v="240.07"/>
    <n v="283"/>
    <n v="43932.81"/>
  </r>
  <r>
    <s v="ORD0332"/>
    <x v="1"/>
    <s v="India"/>
    <x v="4"/>
    <s v="Offline"/>
    <s v="Low"/>
    <d v="2023-11-28T00:00:00"/>
    <n v="131"/>
    <n v="194.35"/>
    <n v="253.21"/>
    <n v="25459.85"/>
  </r>
  <r>
    <s v="ORD0333"/>
    <x v="1"/>
    <s v="USA"/>
    <x v="2"/>
    <s v="Offline"/>
    <s v="Low"/>
    <d v="2023-11-29T00:00:00"/>
    <n v="152"/>
    <n v="64.319999999999993"/>
    <n v="21.84"/>
    <n v="9776.64"/>
  </r>
  <r>
    <s v="ORD0334"/>
    <x v="0"/>
    <s v="UK"/>
    <x v="2"/>
    <s v="Offline"/>
    <s v="Medium"/>
    <d v="2023-11-30T00:00:00"/>
    <n v="491"/>
    <n v="487.21"/>
    <n v="361.76"/>
    <n v="239220.11"/>
  </r>
  <r>
    <s v="ORD0335"/>
    <x v="3"/>
    <s v="USA"/>
    <x v="4"/>
    <s v="Online"/>
    <s v="High"/>
    <d v="2023-12-01T00:00:00"/>
    <n v="115"/>
    <n v="14.91"/>
    <n v="363.94"/>
    <n v="1714.65"/>
  </r>
  <r>
    <s v="ORD0336"/>
    <x v="1"/>
    <s v="USA"/>
    <x v="0"/>
    <s v="Offline"/>
    <s v="High"/>
    <d v="2023-12-02T00:00:00"/>
    <n v="384"/>
    <n v="369.9"/>
    <n v="312.52"/>
    <n v="142041.60000000001"/>
  </r>
  <r>
    <s v="ORD0337"/>
    <x v="2"/>
    <s v="Australia"/>
    <x v="1"/>
    <s v="Online"/>
    <s v="Low"/>
    <d v="2023-12-03T00:00:00"/>
    <n v="437"/>
    <n v="385.46"/>
    <n v="4.8"/>
    <n v="168446.02"/>
  </r>
  <r>
    <s v="ORD0338"/>
    <x v="0"/>
    <s v="Australia"/>
    <x v="1"/>
    <s v="Offline"/>
    <s v="High"/>
    <d v="2023-12-04T00:00:00"/>
    <n v="314"/>
    <n v="125.61"/>
    <n v="24.8"/>
    <n v="39441.54"/>
  </r>
  <r>
    <s v="ORD0339"/>
    <x v="1"/>
    <s v="Australia"/>
    <x v="3"/>
    <s v="Online"/>
    <s v="High"/>
    <d v="2023-12-05T00:00:00"/>
    <n v="369"/>
    <n v="337.42"/>
    <n v="91.64"/>
    <n v="124507.98"/>
  </r>
  <r>
    <s v="ORD0340"/>
    <x v="1"/>
    <s v="UK"/>
    <x v="0"/>
    <s v="Online"/>
    <s v="Medium"/>
    <d v="2023-12-06T00:00:00"/>
    <n v="468"/>
    <n v="51"/>
    <n v="54.28"/>
    <n v="23868"/>
  </r>
  <r>
    <s v="ORD0341"/>
    <x v="0"/>
    <s v="Australia"/>
    <x v="2"/>
    <s v="Offline"/>
    <s v="High"/>
    <d v="2023-12-07T00:00:00"/>
    <n v="326"/>
    <n v="132.24"/>
    <n v="160.74"/>
    <n v="43110.240000000013"/>
  </r>
  <r>
    <s v="ORD0342"/>
    <x v="1"/>
    <s v="India"/>
    <x v="4"/>
    <s v="Offline"/>
    <s v="Medium"/>
    <d v="2023-12-08T00:00:00"/>
    <n v="460"/>
    <n v="395.01"/>
    <n v="369.2"/>
    <n v="181704.6"/>
  </r>
  <r>
    <s v="ORD0343"/>
    <x v="0"/>
    <s v="Germany"/>
    <x v="3"/>
    <s v="Online"/>
    <s v="Low"/>
    <d v="2023-12-09T00:00:00"/>
    <n v="132"/>
    <n v="433.02"/>
    <n v="189.88"/>
    <n v="57158.64"/>
  </r>
  <r>
    <s v="ORD0344"/>
    <x v="3"/>
    <s v="India"/>
    <x v="1"/>
    <s v="Offline"/>
    <s v="High"/>
    <d v="2023-12-10T00:00:00"/>
    <n v="399"/>
    <n v="306.2"/>
    <n v="7.33"/>
    <n v="122173.8"/>
  </r>
  <r>
    <s v="ORD0345"/>
    <x v="0"/>
    <s v="India"/>
    <x v="2"/>
    <s v="Online"/>
    <s v="Low"/>
    <d v="2023-12-11T00:00:00"/>
    <n v="18"/>
    <n v="255.89"/>
    <n v="114.53"/>
    <n v="4606.0200000000004"/>
  </r>
  <r>
    <s v="ORD0346"/>
    <x v="0"/>
    <s v="Australia"/>
    <x v="2"/>
    <s v="Online"/>
    <s v="Low"/>
    <d v="2023-12-12T00:00:00"/>
    <n v="271"/>
    <n v="83.86"/>
    <n v="19.75"/>
    <n v="22726.06"/>
  </r>
  <r>
    <s v="ORD0347"/>
    <x v="1"/>
    <s v="Germany"/>
    <x v="4"/>
    <s v="Online"/>
    <s v="High"/>
    <d v="2023-12-13T00:00:00"/>
    <n v="82"/>
    <n v="36.24"/>
    <n v="16.440000000000001"/>
    <n v="2971.68"/>
  </r>
  <r>
    <s v="ORD0348"/>
    <x v="1"/>
    <s v="Germany"/>
    <x v="1"/>
    <s v="Online"/>
    <s v="High"/>
    <d v="2023-12-14T00:00:00"/>
    <n v="368"/>
    <n v="63.24"/>
    <n v="111.74"/>
    <n v="23272.32"/>
  </r>
  <r>
    <s v="ORD0349"/>
    <x v="1"/>
    <s v="Germany"/>
    <x v="0"/>
    <s v="Online"/>
    <s v="Low"/>
    <d v="2023-12-15T00:00:00"/>
    <n v="232"/>
    <n v="117.54"/>
    <n v="111.69"/>
    <n v="27269.279999999999"/>
  </r>
  <r>
    <s v="ORD0350"/>
    <x v="0"/>
    <s v="UK"/>
    <x v="2"/>
    <s v="Offline"/>
    <s v="High"/>
    <d v="2023-12-16T00:00:00"/>
    <n v="425"/>
    <n v="174.13"/>
    <n v="315.27999999999997"/>
    <n v="74005.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s v="Germany"/>
    <s v="Beverages"/>
    <s v="Online"/>
    <s v="High"/>
    <d v="2023-01-01T00:00:00"/>
    <n v="235"/>
    <n v="152.91999999999999"/>
    <n v="153.6"/>
    <n v="35936.199999999997"/>
    <n v="-159.8000000000016"/>
  </r>
  <r>
    <x v="1"/>
    <s v="India"/>
    <s v="Food"/>
    <s v="Online"/>
    <s v="Low"/>
    <d v="2023-01-02T00:00:00"/>
    <n v="341"/>
    <n v="467.92"/>
    <n v="139.84"/>
    <n v="159560.72"/>
    <n v="111875.28000000001"/>
  </r>
  <r>
    <x v="2"/>
    <s v="India"/>
    <s v="Clothing"/>
    <s v="Offline"/>
    <s v="High"/>
    <d v="2023-01-03T00:00:00"/>
    <n v="179"/>
    <n v="473.94"/>
    <n v="97.14"/>
    <n v="84835.26"/>
    <n v="67447.199999999997"/>
  </r>
  <r>
    <x v="0"/>
    <s v="USA"/>
    <s v="Furniture"/>
    <s v="Offline"/>
    <s v="Medium"/>
    <d v="2023-01-04T00:00:00"/>
    <n v="18"/>
    <n v="314.52999999999997"/>
    <n v="204.87"/>
    <n v="5661.5399999999991"/>
    <n v="1973.8799999999994"/>
  </r>
  <r>
    <x v="0"/>
    <s v="India"/>
    <s v="Furniture"/>
    <s v="Offline"/>
    <s v="Medium"/>
    <d v="2023-01-05T00:00:00"/>
    <n v="472"/>
    <n v="392.79"/>
    <n v="330.46"/>
    <n v="185396.88"/>
    <n v="29419.76000000002"/>
  </r>
  <r>
    <x v="1"/>
    <s v="UK"/>
    <s v="Clothing"/>
    <s v="Online"/>
    <s v="High"/>
    <d v="2023-01-06T00:00:00"/>
    <n v="49"/>
    <n v="308.07"/>
    <n v="113.32"/>
    <n v="15095.43"/>
    <n v="9542.75"/>
  </r>
  <r>
    <x v="2"/>
    <s v="Germany"/>
    <s v="Clothing"/>
    <s v="Online"/>
    <s v="Low"/>
    <d v="2023-01-07T00:00:00"/>
    <n v="34"/>
    <n v="244.78"/>
    <n v="377.07"/>
    <n v="8322.52"/>
    <n v="-4497.8599999999997"/>
  </r>
  <r>
    <x v="2"/>
    <s v="India"/>
    <s v="Beverages"/>
    <s v="Online"/>
    <s v="High"/>
    <d v="2023-01-08T00:00:00"/>
    <n v="270"/>
    <n v="332.11"/>
    <n v="349.59"/>
    <n v="89669.7"/>
    <n v="-4719.5999999999894"/>
  </r>
  <r>
    <x v="0"/>
    <s v="India"/>
    <s v="Beverages"/>
    <s v="Online"/>
    <s v="Low"/>
    <d v="2023-01-09T00:00:00"/>
    <n v="404"/>
    <n v="278.74"/>
    <n v="66.38"/>
    <n v="112610.96"/>
    <n v="85793.44"/>
  </r>
  <r>
    <x v="1"/>
    <s v="USA"/>
    <s v="Furniture"/>
    <s v="Online"/>
    <s v="Medium"/>
    <d v="2023-01-10T00:00:00"/>
    <n v="452"/>
    <n v="300.75"/>
    <n v="314.94"/>
    <n v="135939"/>
    <n v="-6413.8799999999992"/>
  </r>
  <r>
    <x v="0"/>
    <s v="USA"/>
    <s v="Food"/>
    <s v="Online"/>
    <s v="Low"/>
    <d v="2023-01-11T00:00:00"/>
    <n v="235"/>
    <n v="393"/>
    <n v="230.69"/>
    <n v="92355"/>
    <n v="38142.85"/>
  </r>
  <r>
    <x v="0"/>
    <s v="UK"/>
    <s v="Furniture"/>
    <s v="Offline"/>
    <s v="Medium"/>
    <d v="2023-01-12T00:00:00"/>
    <n v="481"/>
    <n v="243.05"/>
    <n v="227.5"/>
    <n v="116907.05"/>
    <n v="7479.5500000000056"/>
  </r>
  <r>
    <x v="0"/>
    <s v="Germany"/>
    <s v="Food"/>
    <s v="Offline"/>
    <s v="Low"/>
    <d v="2023-01-13T00:00:00"/>
    <n v="133"/>
    <n v="25.17"/>
    <n v="157.63999999999999"/>
    <n v="3347.61"/>
    <n v="-17618.509999999995"/>
  </r>
  <r>
    <x v="0"/>
    <s v="USA"/>
    <s v="Food"/>
    <s v="Offline"/>
    <s v="Low"/>
    <d v="2023-01-14T00:00:00"/>
    <n v="472"/>
    <n v="86.18"/>
    <n v="201.46"/>
    <n v="40676.960000000006"/>
    <n v="-54412.160000000003"/>
  </r>
  <r>
    <x v="1"/>
    <s v="India"/>
    <s v="Beverages"/>
    <s v="Offline"/>
    <s v="Low"/>
    <d v="2023-01-15T00:00:00"/>
    <n v="47"/>
    <n v="222.11"/>
    <n v="160.08000000000001"/>
    <n v="10439.17"/>
    <n v="2915.41"/>
  </r>
  <r>
    <x v="2"/>
    <s v="Germany"/>
    <s v="Electronics"/>
    <s v="Online"/>
    <s v="High"/>
    <d v="2023-01-16T00:00:00"/>
    <n v="337"/>
    <n v="363.79"/>
    <n v="216.81"/>
    <n v="122597.23"/>
    <n v="49532.260000000009"/>
  </r>
  <r>
    <x v="1"/>
    <s v="Germany"/>
    <s v="Electronics"/>
    <s v="Online"/>
    <s v="High"/>
    <d v="2023-01-17T00:00:00"/>
    <n v="260"/>
    <n v="298.67"/>
    <n v="251.92"/>
    <n v="77654.2"/>
    <n v="12155.000000000007"/>
  </r>
  <r>
    <x v="1"/>
    <s v="India"/>
    <s v="Clothing"/>
    <s v="Offline"/>
    <s v="Medium"/>
    <d v="2023-01-18T00:00:00"/>
    <n v="398"/>
    <n v="326.89999999999998"/>
    <n v="270.37"/>
    <n v="130106.2"/>
    <n v="22498.939999999988"/>
  </r>
  <r>
    <x v="1"/>
    <s v="USA"/>
    <s v="Beverages"/>
    <s v="Online"/>
    <s v="Medium"/>
    <d v="2023-01-19T00:00:00"/>
    <n v="185"/>
    <n v="242.24"/>
    <n v="213.93"/>
    <n v="44814.400000000001"/>
    <n v="5237.3500000000004"/>
  </r>
  <r>
    <x v="0"/>
    <s v="India"/>
    <s v="Food"/>
    <s v="Offline"/>
    <s v="High"/>
    <d v="2023-01-20T00:00:00"/>
    <n v="99"/>
    <n v="309.79000000000002"/>
    <n v="289.13"/>
    <n v="30669.21"/>
    <n v="2045.3400000000024"/>
  </r>
  <r>
    <x v="3"/>
    <s v="Germany"/>
    <s v="Electronics"/>
    <s v="Offline"/>
    <s v="Medium"/>
    <d v="2023-01-21T00:00:00"/>
    <n v="411"/>
    <n v="167.86"/>
    <n v="58.23"/>
    <n v="68990.460000000006"/>
    <n v="45057.930000000008"/>
  </r>
  <r>
    <x v="2"/>
    <s v="Australia"/>
    <s v="Food"/>
    <s v="Offline"/>
    <s v="High"/>
    <d v="2023-01-22T00:00:00"/>
    <n v="463"/>
    <n v="237.74"/>
    <n v="86.37"/>
    <n v="110073.62"/>
    <n v="70084.31"/>
  </r>
  <r>
    <x v="3"/>
    <s v="Australia"/>
    <s v="Electronics"/>
    <s v="Online"/>
    <s v="Low"/>
    <d v="2023-01-23T00:00:00"/>
    <n v="46"/>
    <n v="373.42"/>
    <n v="327.86"/>
    <n v="17177.32"/>
    <n v="2095.7600000000002"/>
  </r>
  <r>
    <x v="1"/>
    <s v="UK"/>
    <s v="Electronics"/>
    <s v="Offline"/>
    <s v="Medium"/>
    <d v="2023-01-24T00:00:00"/>
    <n v="325"/>
    <n v="436.56"/>
    <n v="130.37"/>
    <n v="141882"/>
    <n v="99511.75"/>
  </r>
  <r>
    <x v="1"/>
    <s v="India"/>
    <s v="Beverages"/>
    <s v="Offline"/>
    <s v="Medium"/>
    <d v="2023-01-25T00:00:00"/>
    <n v="185"/>
    <n v="219.66"/>
    <n v="11.11"/>
    <n v="40637.1"/>
    <n v="38581.75"/>
  </r>
  <r>
    <x v="3"/>
    <s v="India"/>
    <s v="Beverages"/>
    <s v="Offline"/>
    <s v="High"/>
    <d v="2023-01-26T00:00:00"/>
    <n v="470"/>
    <n v="26.61"/>
    <n v="63.21"/>
    <n v="12506.7"/>
    <n v="-17202"/>
  </r>
  <r>
    <x v="3"/>
    <s v="UK"/>
    <s v="Furniture"/>
    <s v="Online"/>
    <s v="Medium"/>
    <d v="2023-01-27T00:00:00"/>
    <n v="293"/>
    <n v="85.03"/>
    <n v="91"/>
    <n v="24913.79"/>
    <n v="-1749.2099999999996"/>
  </r>
  <r>
    <x v="3"/>
    <s v="UK"/>
    <s v="Food"/>
    <s v="Online"/>
    <s v="Medium"/>
    <d v="2023-01-28T00:00:00"/>
    <n v="462"/>
    <n v="255.39500000000001"/>
    <n v="383.01"/>
    <n v="117992.49"/>
    <n v="-58958.12999999999"/>
  </r>
  <r>
    <x v="1"/>
    <s v="UK"/>
    <s v="Beverages"/>
    <s v="Offline"/>
    <s v="Low"/>
    <d v="2023-01-29T00:00:00"/>
    <n v="470"/>
    <n v="328.37"/>
    <n v="230.07"/>
    <n v="154333.9"/>
    <n v="46201.000000000007"/>
  </r>
  <r>
    <x v="1"/>
    <s v="Germany"/>
    <s v="Beverages"/>
    <s v="Online"/>
    <s v="Medium"/>
    <d v="2023-01-30T00:00:00"/>
    <n v="90"/>
    <n v="169.5"/>
    <n v="373.23"/>
    <n v="15255"/>
    <n v="-18335.7"/>
  </r>
  <r>
    <x v="1"/>
    <s v="India"/>
    <s v="Beverages"/>
    <s v="Online"/>
    <s v="Low"/>
    <d v="2023-01-31T00:00:00"/>
    <n v="123"/>
    <n v="273.52999999999997"/>
    <n v="230.92"/>
    <n v="33644.19"/>
    <n v="5241.0299999999979"/>
  </r>
  <r>
    <x v="2"/>
    <s v="Germany"/>
    <s v="Beverages"/>
    <s v="Online"/>
    <s v="High"/>
    <d v="2023-02-01T00:00:00"/>
    <n v="49"/>
    <n v="249.17"/>
    <n v="192.78"/>
    <n v="12209.33"/>
    <n v="2763.1099999999992"/>
  </r>
  <r>
    <x v="1"/>
    <s v="UK"/>
    <s v="Beverages"/>
    <s v="Online"/>
    <s v="Medium"/>
    <d v="2023-02-02T00:00:00"/>
    <n v="310"/>
    <n v="45.36"/>
    <n v="126.86"/>
    <n v="14061.6"/>
    <n v="-25265"/>
  </r>
  <r>
    <x v="3"/>
    <s v="India"/>
    <s v="Clothing"/>
    <s v="Online"/>
    <s v="Low"/>
    <d v="2023-02-03T00:00:00"/>
    <n v="233"/>
    <n v="204.61"/>
    <n v="243.34"/>
    <n v="47674.13"/>
    <n v="-9024.0899999999983"/>
  </r>
  <r>
    <x v="3"/>
    <s v="Germany"/>
    <s v="Food"/>
    <s v="Online"/>
    <s v="High"/>
    <d v="2023-02-04T00:00:00"/>
    <n v="327"/>
    <n v="114.18"/>
    <n v="57.4"/>
    <n v="37336.86"/>
    <n v="18567.060000000001"/>
  </r>
  <r>
    <x v="2"/>
    <s v="Germany"/>
    <s v="Beverages"/>
    <s v="Online"/>
    <s v="Medium"/>
    <d v="2023-02-05T00:00:00"/>
    <n v="358"/>
    <n v="212.11"/>
    <n v="359.51"/>
    <n v="75935.38"/>
    <n v="-52769.19999999999"/>
  </r>
  <r>
    <x v="1"/>
    <s v="UK"/>
    <s v="Food"/>
    <s v="Online"/>
    <s v="High"/>
    <d v="2023-02-06T00:00:00"/>
    <n v="124"/>
    <n v="255.39500000000001"/>
    <n v="332.07"/>
    <n v="31668.98"/>
    <n v="-9507.6999999999971"/>
  </r>
  <r>
    <x v="2"/>
    <s v="India"/>
    <s v="Clothing"/>
    <s v="Online"/>
    <s v="Medium"/>
    <d v="2023-02-07T00:00:00"/>
    <n v="195"/>
    <n v="421.02"/>
    <n v="128.38"/>
    <n v="82098.899999999994"/>
    <n v="57064.799999999996"/>
  </r>
  <r>
    <x v="2"/>
    <s v="UK"/>
    <s v="Clothing"/>
    <s v="Online"/>
    <s v="High"/>
    <d v="2023-02-08T00:00:00"/>
    <n v="248.5"/>
    <n v="91.23"/>
    <n v="381.21"/>
    <n v="22670.654999999999"/>
    <n v="-72060.029999999984"/>
  </r>
  <r>
    <x v="0"/>
    <s v="India"/>
    <s v="Food"/>
    <s v="Offline"/>
    <s v="High"/>
    <d v="2023-02-09T00:00:00"/>
    <n v="65"/>
    <n v="480.59"/>
    <n v="330.43"/>
    <n v="31238.35"/>
    <n v="9760.3999999999978"/>
  </r>
  <r>
    <x v="0"/>
    <s v="Australia"/>
    <s v="Electronics"/>
    <s v="Offline"/>
    <s v="Low"/>
    <d v="2023-02-10T00:00:00"/>
    <n v="49"/>
    <n v="210.87"/>
    <n v="267.19"/>
    <n v="10332.629999999999"/>
    <n v="-2759.68"/>
  </r>
  <r>
    <x v="0"/>
    <s v="USA"/>
    <s v="Furniture"/>
    <s v="Online"/>
    <s v="High"/>
    <d v="2023-02-11T00:00:00"/>
    <n v="363"/>
    <n v="423.89"/>
    <n v="50.46"/>
    <n v="153872.07"/>
    <n v="135555.09"/>
  </r>
  <r>
    <x v="3"/>
    <s v="USA"/>
    <s v="Electronics"/>
    <s v="Offline"/>
    <s v="Medium"/>
    <d v="2023-02-12T00:00:00"/>
    <n v="49"/>
    <n v="316.24"/>
    <n v="192.34"/>
    <n v="15495.76"/>
    <n v="6071.1"/>
  </r>
  <r>
    <x v="1"/>
    <s v="USA"/>
    <s v="Electronics"/>
    <s v="Offline"/>
    <s v="Medium"/>
    <d v="2023-02-13T00:00:00"/>
    <n v="356"/>
    <n v="369"/>
    <n v="203.43"/>
    <n v="131364"/>
    <n v="58942.92"/>
  </r>
  <r>
    <x v="1"/>
    <s v="UK"/>
    <s v="Electronics"/>
    <s v="Online"/>
    <s v="Low"/>
    <d v="2023-02-14T00:00:00"/>
    <n v="470"/>
    <n v="255.39500000000001"/>
    <n v="94.56"/>
    <n v="120035.65"/>
    <n v="75592.45"/>
  </r>
  <r>
    <x v="1"/>
    <s v="Australia"/>
    <s v="Beverages"/>
    <s v="Online"/>
    <s v="Medium"/>
    <d v="2023-02-15T00:00:00"/>
    <n v="246"/>
    <n v="254.9"/>
    <n v="33.83"/>
    <n v="62705.4"/>
    <n v="54383.22"/>
  </r>
  <r>
    <x v="1"/>
    <s v="India"/>
    <s v="Clothing"/>
    <s v="Online"/>
    <s v="Medium"/>
    <d v="2023-02-16T00:00:00"/>
    <n v="298"/>
    <n v="273.93"/>
    <n v="311.14"/>
    <n v="81631.14"/>
    <n v="-11088.579999999994"/>
  </r>
  <r>
    <x v="0"/>
    <s v="Germany"/>
    <s v="Electronics"/>
    <s v="Offline"/>
    <s v="Medium"/>
    <d v="2023-02-17T00:00:00"/>
    <n v="271"/>
    <n v="259.43"/>
    <n v="50.57"/>
    <n v="70305.53"/>
    <n v="56601.060000000005"/>
  </r>
  <r>
    <x v="3"/>
    <s v="India"/>
    <s v="Clothing"/>
    <s v="Offline"/>
    <s v="High"/>
    <d v="2023-02-18T00:00:00"/>
    <n v="225"/>
    <n v="296.08999999999997"/>
    <n v="238.53"/>
    <n v="66620.25"/>
    <n v="12950.999999999995"/>
  </r>
  <r>
    <x v="1"/>
    <s v="Germany"/>
    <s v="Food"/>
    <s v="Online"/>
    <s v="High"/>
    <d v="2023-02-19T00:00:00"/>
    <n v="156"/>
    <n v="19.55"/>
    <n v="374.71"/>
    <n v="3049.8"/>
    <n v="-55404.959999999992"/>
  </r>
  <r>
    <x v="0"/>
    <s v="India"/>
    <s v="Furniture"/>
    <s v="Online"/>
    <s v="Medium"/>
    <d v="2023-02-20T00:00:00"/>
    <n v="345"/>
    <n v="200.78"/>
    <n v="350.69"/>
    <n v="69269.100000000006"/>
    <n v="-51718.95"/>
  </r>
  <r>
    <x v="3"/>
    <s v="Australia"/>
    <s v="Food"/>
    <s v="Online"/>
    <s v="Low"/>
    <d v="2023-02-21T00:00:00"/>
    <n v="177"/>
    <n v="305.06"/>
    <n v="112.55"/>
    <n v="53995.62"/>
    <n v="34074.269999999997"/>
  </r>
  <r>
    <x v="0"/>
    <s v="Germany"/>
    <s v="Food"/>
    <s v="Offline"/>
    <s v="High"/>
    <d v="2023-02-22T00:00:00"/>
    <n v="101"/>
    <n v="300.87"/>
    <n v="340.88"/>
    <n v="30387.87"/>
    <n v="-4041.0099999999993"/>
  </r>
  <r>
    <x v="1"/>
    <s v="UK"/>
    <s v="Beverages"/>
    <s v="Offline"/>
    <s v="Low"/>
    <d v="2023-02-23T00:00:00"/>
    <n v="362"/>
    <n v="397.51"/>
    <n v="2.13"/>
    <n v="143898.62"/>
    <n v="143127.56"/>
  </r>
  <r>
    <x v="0"/>
    <s v="India"/>
    <s v="Furniture"/>
    <s v="Offline"/>
    <s v="Medium"/>
    <d v="2023-02-24T00:00:00"/>
    <n v="68"/>
    <n v="329.23"/>
    <n v="9.0399999999999991"/>
    <n v="22387.64"/>
    <n v="21772.92"/>
  </r>
  <r>
    <x v="1"/>
    <s v="India"/>
    <s v="Food"/>
    <s v="Offline"/>
    <s v="Medium"/>
    <d v="2023-02-25T00:00:00"/>
    <n v="68"/>
    <n v="496.11"/>
    <n v="241.82"/>
    <n v="33735.480000000003"/>
    <n v="17291.72"/>
  </r>
  <r>
    <x v="1"/>
    <s v="Germany"/>
    <s v="Food"/>
    <s v="Online"/>
    <s v="High"/>
    <d v="2023-02-26T00:00:00"/>
    <n v="313"/>
    <n v="145.51"/>
    <n v="147.19"/>
    <n v="45544.63"/>
    <n v="-525.84000000000219"/>
  </r>
  <r>
    <x v="2"/>
    <s v="UK"/>
    <s v="Furniture"/>
    <s v="Online"/>
    <s v="Medium"/>
    <d v="2023-02-27T00:00:00"/>
    <n v="178"/>
    <n v="182.78"/>
    <n v="155.81"/>
    <n v="32534.84"/>
    <n v="4800.66"/>
  </r>
  <r>
    <x v="0"/>
    <s v="UK"/>
    <s v="Furniture"/>
    <s v="Online"/>
    <s v="High"/>
    <d v="2023-02-28T00:00:00"/>
    <n v="278"/>
    <n v="195"/>
    <n v="226.65"/>
    <n v="54210"/>
    <n v="-8798.7000000000007"/>
  </r>
  <r>
    <x v="2"/>
    <s v="Australia"/>
    <s v="Food"/>
    <s v="Online"/>
    <s v="Medium"/>
    <d v="2023-03-01T00:00:00"/>
    <n v="372"/>
    <n v="235.58"/>
    <n v="78.33"/>
    <n v="87635.760000000009"/>
    <n v="58497"/>
  </r>
  <r>
    <x v="0"/>
    <s v="UK"/>
    <s v="Furniture"/>
    <s v="Offline"/>
    <s v="Medium"/>
    <d v="2023-03-02T00:00:00"/>
    <n v="54"/>
    <n v="418.82"/>
    <n v="86.28"/>
    <n v="22616.28"/>
    <n v="17957.159999999996"/>
  </r>
  <r>
    <x v="0"/>
    <s v="UK"/>
    <s v="Food"/>
    <s v="Offline"/>
    <s v="High"/>
    <d v="2023-03-03T00:00:00"/>
    <n v="354"/>
    <n v="121.72"/>
    <n v="194.87"/>
    <n v="43088.88"/>
    <n v="-25895.100000000002"/>
  </r>
  <r>
    <x v="2"/>
    <s v="UK"/>
    <s v="Food"/>
    <s v="Online"/>
    <s v="High"/>
    <d v="2023-03-04T00:00:00"/>
    <n v="190"/>
    <n v="389.12"/>
    <n v="302.19"/>
    <n v="73932.800000000003"/>
    <n v="16516.7"/>
  </r>
  <r>
    <x v="1"/>
    <s v="USA"/>
    <s v="Beverages"/>
    <s v="Online"/>
    <s v="High"/>
    <d v="2023-03-05T00:00:00"/>
    <n v="179"/>
    <n v="205.63"/>
    <n v="248.56"/>
    <n v="36807.769999999997"/>
    <n v="-7684.4700000000012"/>
  </r>
  <r>
    <x v="0"/>
    <s v="Australia"/>
    <s v="Electronics"/>
    <s v="Offline"/>
    <s v="Medium"/>
    <d v="2023-03-06T00:00:00"/>
    <n v="365"/>
    <n v="302.92"/>
    <n v="120.35"/>
    <n v="110565.8"/>
    <n v="66638.05"/>
  </r>
  <r>
    <x v="3"/>
    <s v="India"/>
    <s v="Food"/>
    <s v="Online"/>
    <s v="Medium"/>
    <d v="2023-03-07T00:00:00"/>
    <n v="200"/>
    <n v="318.11"/>
    <n v="173.27"/>
    <n v="63622"/>
    <n v="28968"/>
  </r>
  <r>
    <x v="1"/>
    <s v="Germany"/>
    <s v="Clothing"/>
    <s v="Offline"/>
    <s v="Low"/>
    <d v="2023-03-08T00:00:00"/>
    <n v="164"/>
    <n v="189.56"/>
    <n v="69.92"/>
    <n v="31087.84"/>
    <n v="19620.96"/>
  </r>
  <r>
    <x v="2"/>
    <s v="India"/>
    <s v="Electronics"/>
    <s v="Online"/>
    <s v="High"/>
    <d v="2023-03-09T00:00:00"/>
    <n v="431"/>
    <n v="258.74"/>
    <n v="31.7"/>
    <n v="111516.94"/>
    <n v="97854.24"/>
  </r>
  <r>
    <x v="1"/>
    <s v="Australia"/>
    <s v="Electronics"/>
    <s v="Online"/>
    <s v="Medium"/>
    <d v="2023-03-10T00:00:00"/>
    <n v="197"/>
    <n v="209.45"/>
    <n v="313.51"/>
    <n v="41261.649999999987"/>
    <n v="-20499.82"/>
  </r>
  <r>
    <x v="3"/>
    <s v="Germany"/>
    <s v="Electronics"/>
    <s v="Online"/>
    <s v="Medium"/>
    <d v="2023-03-11T00:00:00"/>
    <n v="16"/>
    <n v="39.22"/>
    <n v="107.62"/>
    <n v="627.52"/>
    <n v="-1094.4000000000001"/>
  </r>
  <r>
    <x v="3"/>
    <s v="Australia"/>
    <s v="Beverages"/>
    <s v="Online"/>
    <s v="High"/>
    <d v="2023-03-12T00:00:00"/>
    <n v="142"/>
    <n v="221.4"/>
    <n v="72.75"/>
    <n v="31438.799999999999"/>
    <n v="21108.3"/>
  </r>
  <r>
    <x v="3"/>
    <s v="UK"/>
    <s v="Food"/>
    <s v="Online"/>
    <s v="Low"/>
    <d v="2023-03-13T00:00:00"/>
    <n v="244"/>
    <n v="53.21"/>
    <n v="277.26"/>
    <n v="12983.24"/>
    <n v="-54668.2"/>
  </r>
  <r>
    <x v="2"/>
    <s v="Germany"/>
    <s v="Beverages"/>
    <s v="Online"/>
    <s v="High"/>
    <d v="2023-03-14T00:00:00"/>
    <n v="54"/>
    <n v="205.49"/>
    <n v="247.98"/>
    <n v="11096.46"/>
    <n v="-2294.4599999999991"/>
  </r>
  <r>
    <x v="3"/>
    <s v="UK"/>
    <s v="Food"/>
    <s v="Online"/>
    <s v="Low"/>
    <d v="2023-03-15T00:00:00"/>
    <n v="323"/>
    <n v="298.49"/>
    <n v="254.01"/>
    <n v="96412.27"/>
    <n v="14367.040000000006"/>
  </r>
  <r>
    <x v="2"/>
    <s v="India"/>
    <s v="Beverages"/>
    <s v="Offline"/>
    <s v="Medium"/>
    <d v="2023-03-16T00:00:00"/>
    <n v="258"/>
    <n v="291.81"/>
    <n v="93.1"/>
    <n v="75286.98"/>
    <n v="51267.18"/>
  </r>
  <r>
    <x v="3"/>
    <s v="India"/>
    <s v="Beverages"/>
    <s v="Offline"/>
    <s v="Low"/>
    <d v="2023-03-17T00:00:00"/>
    <n v="40"/>
    <n v="333"/>
    <n v="94.59"/>
    <n v="13320"/>
    <n v="9536.4"/>
  </r>
  <r>
    <x v="1"/>
    <s v="Germany"/>
    <s v="Clothing"/>
    <s v="Offline"/>
    <s v="Medium"/>
    <d v="2023-03-18T00:00:00"/>
    <n v="32"/>
    <n v="52.15"/>
    <n v="89.88"/>
    <n v="1668.8"/>
    <n v="-1207.3599999999999"/>
  </r>
  <r>
    <x v="1"/>
    <s v="Germany"/>
    <s v="Beverages"/>
    <s v="Offline"/>
    <s v="High"/>
    <d v="2023-03-19T00:00:00"/>
    <n v="435"/>
    <n v="327.8"/>
    <n v="71.150000000000006"/>
    <n v="142593"/>
    <n v="111642.74999999999"/>
  </r>
  <r>
    <x v="0"/>
    <s v="Australia"/>
    <s v="Furniture"/>
    <s v="Offline"/>
    <s v="High"/>
    <d v="2023-03-20T00:00:00"/>
    <n v="403"/>
    <n v="159.51"/>
    <n v="262.98"/>
    <n v="64282.53"/>
    <n v="-41698.410000000011"/>
  </r>
  <r>
    <x v="1"/>
    <s v="Australia"/>
    <s v="Clothing"/>
    <s v="Online"/>
    <s v="High"/>
    <d v="2023-03-21T00:00:00"/>
    <n v="169"/>
    <n v="255.39500000000001"/>
    <n v="339.51"/>
    <n v="43161.754999999997"/>
    <n v="-14215.434999999996"/>
  </r>
  <r>
    <x v="0"/>
    <s v="UK"/>
    <s v="Beverages"/>
    <s v="Online"/>
    <s v="Low"/>
    <d v="2023-03-22T00:00:00"/>
    <n v="372"/>
    <n v="429.7"/>
    <n v="290.27999999999997"/>
    <n v="159848.4"/>
    <n v="51864.240000000005"/>
  </r>
  <r>
    <x v="1"/>
    <s v="Germany"/>
    <s v="Electronics"/>
    <s v="Offline"/>
    <s v="Medium"/>
    <d v="2023-03-23T00:00:00"/>
    <n v="446"/>
    <n v="9.4700000000000006"/>
    <n v="317.25"/>
    <n v="4223.62"/>
    <n v="-137269.87999999998"/>
  </r>
  <r>
    <x v="2"/>
    <s v="India"/>
    <s v="Furniture"/>
    <s v="Online"/>
    <s v="High"/>
    <d v="2023-03-24T00:00:00"/>
    <n v="167"/>
    <n v="296.26"/>
    <n v="163.11000000000001"/>
    <n v="49475.42"/>
    <n v="22236.049999999996"/>
  </r>
  <r>
    <x v="1"/>
    <s v="Australia"/>
    <s v="Furniture"/>
    <s v="Offline"/>
    <s v="High"/>
    <d v="2023-03-25T00:00:00"/>
    <n v="48"/>
    <n v="301.36"/>
    <n v="262.32"/>
    <n v="14465.28"/>
    <n v="1873.920000000001"/>
  </r>
  <r>
    <x v="0"/>
    <s v="Australia"/>
    <s v="Furniture"/>
    <s v="Offline"/>
    <s v="Medium"/>
    <d v="2023-03-26T00:00:00"/>
    <n v="424"/>
    <n v="201.35"/>
    <n v="142.99"/>
    <n v="85372.4"/>
    <n v="24744.639999999992"/>
  </r>
  <r>
    <x v="0"/>
    <s v="India"/>
    <s v="Clothing"/>
    <s v="Online"/>
    <s v="High"/>
    <d v="2023-03-27T00:00:00"/>
    <n v="91"/>
    <n v="122.33"/>
    <n v="211.15"/>
    <n v="11132.03"/>
    <n v="-8082.6200000000008"/>
  </r>
  <r>
    <x v="3"/>
    <s v="Australia"/>
    <s v="Beverages"/>
    <s v="Online"/>
    <s v="Medium"/>
    <d v="2023-03-28T00:00:00"/>
    <n v="365"/>
    <n v="121.16"/>
    <n v="193.69"/>
    <n v="44223.4"/>
    <n v="-26473.45"/>
  </r>
  <r>
    <x v="2"/>
    <s v="UK"/>
    <s v="Beverages"/>
    <s v="Online"/>
    <s v="Medium"/>
    <d v="2023-03-29T00:00:00"/>
    <n v="267"/>
    <n v="442.44"/>
    <n v="72.400000000000006"/>
    <n v="118131.48"/>
    <n v="98800.68"/>
  </r>
  <r>
    <x v="1"/>
    <s v="Germany"/>
    <s v="Electronics"/>
    <s v="Offline"/>
    <s v="Medium"/>
    <d v="2023-03-30T00:00:00"/>
    <n v="215"/>
    <n v="223.8"/>
    <n v="156.06"/>
    <n v="48117"/>
    <n v="14564.100000000002"/>
  </r>
  <r>
    <x v="3"/>
    <s v="India"/>
    <s v="Electronics"/>
    <s v="Online"/>
    <s v="Medium"/>
    <d v="2023-03-31T00:00:00"/>
    <n v="86"/>
    <n v="168.79"/>
    <n v="385.6"/>
    <n v="14515.94"/>
    <n v="-18645.660000000003"/>
  </r>
  <r>
    <x v="1"/>
    <s v="Germany"/>
    <s v="Furniture"/>
    <s v="Offline"/>
    <s v="Medium"/>
    <d v="2023-04-01T00:00:00"/>
    <n v="486"/>
    <n v="227.14"/>
    <n v="100.93"/>
    <n v="110390.04"/>
    <n v="61338.05999999999"/>
  </r>
  <r>
    <x v="1"/>
    <s v="Australia"/>
    <s v="Electronics"/>
    <s v="Offline"/>
    <s v="Low"/>
    <d v="2023-04-02T00:00:00"/>
    <n v="21"/>
    <n v="255.39500000000001"/>
    <n v="55.25"/>
    <n v="5363.2950000000001"/>
    <n v="4203.0450000000001"/>
  </r>
  <r>
    <x v="3"/>
    <s v="Australia"/>
    <s v="Clothing"/>
    <s v="Offline"/>
    <s v="High"/>
    <d v="2023-04-03T00:00:00"/>
    <n v="304"/>
    <n v="77.150000000000006"/>
    <n v="168.6"/>
    <n v="23453.599999999999"/>
    <n v="-27800.799999999996"/>
  </r>
  <r>
    <x v="3"/>
    <s v="India"/>
    <s v="Beverages"/>
    <s v="Online"/>
    <s v="Low"/>
    <d v="2023-04-04T00:00:00"/>
    <n v="459"/>
    <n v="227.47"/>
    <n v="316.55"/>
    <n v="104408.73"/>
    <n v="-40887.720000000008"/>
  </r>
  <r>
    <x v="3"/>
    <s v="UK"/>
    <s v="Furniture"/>
    <s v="Online"/>
    <s v="High"/>
    <d v="2023-04-05T00:00:00"/>
    <n v="233"/>
    <n v="296"/>
    <n v="233.69"/>
    <n v="68968"/>
    <n v="14518.230000000001"/>
  </r>
  <r>
    <x v="3"/>
    <s v="USA"/>
    <s v="Electronics"/>
    <s v="Offline"/>
    <s v="Low"/>
    <d v="2023-04-06T00:00:00"/>
    <n v="22"/>
    <n v="474.55"/>
    <n v="273.02999999999997"/>
    <n v="10440.1"/>
    <n v="4433.4400000000005"/>
  </r>
  <r>
    <x v="3"/>
    <s v="India"/>
    <s v="Clothing"/>
    <s v="Online"/>
    <s v="Medium"/>
    <d v="2023-04-07T00:00:00"/>
    <n v="55"/>
    <n v="130"/>
    <n v="77.5"/>
    <n v="7150"/>
    <n v="2887.5"/>
  </r>
  <r>
    <x v="1"/>
    <s v="USA"/>
    <s v="Clothing"/>
    <s v="Online"/>
    <s v="High"/>
    <d v="2023-04-08T00:00:00"/>
    <n v="164"/>
    <n v="182.83"/>
    <n v="248.34"/>
    <n v="29984.12"/>
    <n v="-10743.64"/>
  </r>
  <r>
    <x v="3"/>
    <s v="USA"/>
    <s v="Electronics"/>
    <s v="Online"/>
    <s v="High"/>
    <d v="2023-04-09T00:00:00"/>
    <n v="122"/>
    <n v="192.78"/>
    <n v="130.75"/>
    <n v="23519.16"/>
    <n v="7567.66"/>
  </r>
  <r>
    <x v="2"/>
    <s v="UK"/>
    <s v="Beverages"/>
    <s v="Offline"/>
    <s v="Low"/>
    <d v="2023-04-10T00:00:00"/>
    <n v="242"/>
    <n v="304.74"/>
    <n v="334.05"/>
    <n v="73747.08"/>
    <n v="-7093.02"/>
  </r>
  <r>
    <x v="0"/>
    <s v="USA"/>
    <s v="Electronics"/>
    <s v="Offline"/>
    <s v="Low"/>
    <d v="2023-04-11T00:00:00"/>
    <n v="26"/>
    <n v="181.58"/>
    <n v="252.46"/>
    <n v="4721.08"/>
    <n v="-1842.8799999999999"/>
  </r>
  <r>
    <x v="3"/>
    <s v="USA"/>
    <s v="Furniture"/>
    <s v="Online"/>
    <s v="High"/>
    <d v="2023-04-12T00:00:00"/>
    <n v="369"/>
    <n v="269.08999999999997"/>
    <n v="81.14"/>
    <n v="99294.209999999992"/>
    <n v="69353.55"/>
  </r>
  <r>
    <x v="3"/>
    <s v="UK"/>
    <s v="Electronics"/>
    <s v="Offline"/>
    <s v="Low"/>
    <d v="2023-04-13T00:00:00"/>
    <n v="232"/>
    <n v="391.99"/>
    <n v="27.72"/>
    <n v="90941.680000000008"/>
    <n v="84510.64"/>
  </r>
  <r>
    <x v="1"/>
    <s v="USA"/>
    <s v="Clothing"/>
    <s v="Online"/>
    <s v="Low"/>
    <d v="2023-04-14T00:00:00"/>
    <n v="363"/>
    <n v="354.17"/>
    <n v="18.97"/>
    <n v="128563.71"/>
    <n v="121677.60000000002"/>
  </r>
  <r>
    <x v="3"/>
    <s v="USA"/>
    <s v="Electronics"/>
    <s v="Online"/>
    <s v="Low"/>
    <d v="2023-04-15T00:00:00"/>
    <n v="197"/>
    <n v="225.95"/>
    <n v="149.82"/>
    <n v="44512.149999999987"/>
    <n v="14997.609999999999"/>
  </r>
  <r>
    <x v="3"/>
    <s v="USA"/>
    <s v="Beverages"/>
    <s v="Online"/>
    <s v="Medium"/>
    <d v="2023-04-16T00:00:00"/>
    <n v="457"/>
    <n v="432.79"/>
    <n v="107.81"/>
    <n v="197785.03"/>
    <n v="148515.86000000002"/>
  </r>
  <r>
    <x v="3"/>
    <s v="India"/>
    <s v="Food"/>
    <s v="Online"/>
    <s v="Medium"/>
    <d v="2023-04-17T00:00:00"/>
    <n v="353"/>
    <n v="281.27999999999997"/>
    <n v="259.14"/>
    <n v="99291.839999999997"/>
    <n v="7815.4199999999955"/>
  </r>
  <r>
    <x v="1"/>
    <s v="India"/>
    <s v="Electronics"/>
    <s v="Offline"/>
    <s v="Low"/>
    <d v="2023-04-18T00:00:00"/>
    <n v="374"/>
    <n v="272.25"/>
    <n v="200.73"/>
    <n v="101821.5"/>
    <n v="26748.480000000003"/>
  </r>
  <r>
    <x v="3"/>
    <s v="India"/>
    <s v="Beverages"/>
    <s v="Offline"/>
    <s v="Low"/>
    <d v="2023-04-19T00:00:00"/>
    <n v="172"/>
    <n v="21.92"/>
    <n v="107.88"/>
    <n v="3770.24"/>
    <n v="-14785.119999999999"/>
  </r>
  <r>
    <x v="0"/>
    <s v="UK"/>
    <s v="Beverages"/>
    <s v="Offline"/>
    <s v="Medium"/>
    <d v="2023-04-20T00:00:00"/>
    <n v="335"/>
    <n v="493.41"/>
    <n v="61.4"/>
    <n v="165292.35"/>
    <n v="144723.35"/>
  </r>
  <r>
    <x v="1"/>
    <s v="Australia"/>
    <s v="Clothing"/>
    <s v="Online"/>
    <s v="Medium"/>
    <d v="2023-04-21T00:00:00"/>
    <n v="476"/>
    <n v="65.87"/>
    <n v="52.63"/>
    <n v="31354.12"/>
    <n v="6302.2400000000007"/>
  </r>
  <r>
    <x v="0"/>
    <s v="USA"/>
    <s v="Beverages"/>
    <s v="Online"/>
    <s v="High"/>
    <d v="2023-04-22T00:00:00"/>
    <n v="423"/>
    <n v="119.41"/>
    <n v="346.13"/>
    <n v="50510.43"/>
    <n v="-95902.56"/>
  </r>
  <r>
    <x v="1"/>
    <s v="USA"/>
    <s v="Beverages"/>
    <s v="Online"/>
    <s v="High"/>
    <d v="2023-04-23T00:00:00"/>
    <n v="464"/>
    <n v="30.59"/>
    <n v="98.9"/>
    <n v="14193.76"/>
    <n v="-31695.84"/>
  </r>
  <r>
    <x v="3"/>
    <s v="UK"/>
    <s v="Beverages"/>
    <s v="Offline"/>
    <s v="Medium"/>
    <d v="2023-04-24T00:00:00"/>
    <n v="83"/>
    <n v="321.8"/>
    <n v="261.38"/>
    <n v="26709.4"/>
    <n v="5014.8600000000015"/>
  </r>
  <r>
    <x v="0"/>
    <s v="USA"/>
    <s v="Beverages"/>
    <s v="Online"/>
    <s v="Low"/>
    <d v="2023-04-25T00:00:00"/>
    <n v="242"/>
    <n v="116.23"/>
    <n v="324.64999999999998"/>
    <n v="28127.66"/>
    <n v="-50437.639999999992"/>
  </r>
  <r>
    <x v="1"/>
    <s v="India"/>
    <s v="Furniture"/>
    <s v="Offline"/>
    <s v="Low"/>
    <d v="2023-04-26T00:00:00"/>
    <n v="233"/>
    <n v="94.11"/>
    <n v="246.4"/>
    <n v="21927.63"/>
    <n v="-35483.570000000007"/>
  </r>
  <r>
    <x v="2"/>
    <s v="Australia"/>
    <s v="Furniture"/>
    <s v="Offline"/>
    <s v="Low"/>
    <d v="2023-04-27T00:00:00"/>
    <n v="491"/>
    <n v="48.84"/>
    <n v="344.11"/>
    <n v="23980.44"/>
    <n v="-144977.56999999998"/>
  </r>
  <r>
    <x v="1"/>
    <s v="Germany"/>
    <s v="Clothing"/>
    <s v="Offline"/>
    <s v="Low"/>
    <d v="2023-04-28T00:00:00"/>
    <n v="328"/>
    <n v="56.14"/>
    <n v="158.16999999999999"/>
    <n v="18413.919999999998"/>
    <n v="-33465.839999999997"/>
  </r>
  <r>
    <x v="1"/>
    <s v="USA"/>
    <s v="Electronics"/>
    <s v="Offline"/>
    <s v="High"/>
    <d v="2023-04-29T00:00:00"/>
    <n v="421"/>
    <n v="294.41000000000003"/>
    <n v="382.58"/>
    <n v="123946.61"/>
    <n v="-37119.569999999985"/>
  </r>
  <r>
    <x v="2"/>
    <s v="India"/>
    <s v="Beverages"/>
    <s v="Offline"/>
    <s v="Medium"/>
    <d v="2023-04-30T00:00:00"/>
    <n v="69"/>
    <n v="345.66"/>
    <n v="54.99"/>
    <n v="23850.54"/>
    <n v="20056.23"/>
  </r>
  <r>
    <x v="1"/>
    <s v="Germany"/>
    <s v="Electronics"/>
    <s v="Offline"/>
    <s v="Low"/>
    <d v="2023-05-01T00:00:00"/>
    <n v="344"/>
    <n v="201.7"/>
    <n v="42.66"/>
    <n v="69384.800000000003"/>
    <n v="54709.759999999995"/>
  </r>
  <r>
    <x v="1"/>
    <s v="Australia"/>
    <s v="Electronics"/>
    <s v="Online"/>
    <s v="High"/>
    <d v="2023-05-02T00:00:00"/>
    <n v="231"/>
    <n v="242.55"/>
    <n v="264.16000000000003"/>
    <n v="56029.05"/>
    <n v="-4991.9100000000035"/>
  </r>
  <r>
    <x v="3"/>
    <s v="Germany"/>
    <s v="Clothing"/>
    <s v="Online"/>
    <s v="Low"/>
    <d v="2023-05-03T00:00:00"/>
    <n v="46"/>
    <n v="344.55"/>
    <n v="377.25"/>
    <n v="15849.3"/>
    <n v="-1504.1999999999994"/>
  </r>
  <r>
    <x v="0"/>
    <s v="India"/>
    <s v="Beverages"/>
    <s v="Offline"/>
    <s v="Medium"/>
    <d v="2023-05-04T00:00:00"/>
    <n v="486"/>
    <n v="13.6"/>
    <n v="323.94"/>
    <n v="6609.5999999999995"/>
    <n v="-150825.24"/>
  </r>
  <r>
    <x v="2"/>
    <s v="Germany"/>
    <s v="Beverages"/>
    <s v="Offline"/>
    <s v="High"/>
    <d v="2023-05-05T00:00:00"/>
    <n v="287"/>
    <n v="164.95"/>
    <n v="32.409999999999997"/>
    <n v="47340.649999999987"/>
    <n v="38038.979999999996"/>
  </r>
  <r>
    <x v="1"/>
    <s v="UK"/>
    <s v="Food"/>
    <s v="Online"/>
    <s v="Medium"/>
    <d v="2023-05-06T00:00:00"/>
    <n v="205"/>
    <n v="486.68"/>
    <n v="113.19"/>
    <n v="99769.4"/>
    <n v="76565.45"/>
  </r>
  <r>
    <x v="3"/>
    <s v="Germany"/>
    <s v="Electronics"/>
    <s v="Offline"/>
    <s v="Medium"/>
    <d v="2023-05-07T00:00:00"/>
    <n v="413"/>
    <n v="292.16000000000003"/>
    <n v="372.27"/>
    <n v="120662.08"/>
    <n v="-33085.429999999986"/>
  </r>
  <r>
    <x v="2"/>
    <s v="USA"/>
    <s v="Electronics"/>
    <s v="Offline"/>
    <s v="High"/>
    <d v="2023-05-08T00:00:00"/>
    <n v="361"/>
    <n v="130.84"/>
    <n v="102.72"/>
    <n v="47233.24"/>
    <n v="10151.320000000002"/>
  </r>
  <r>
    <x v="1"/>
    <s v="USA"/>
    <s v="Furniture"/>
    <s v="Online"/>
    <s v="High"/>
    <d v="2023-05-09T00:00:00"/>
    <n v="493"/>
    <n v="263.26"/>
    <n v="312.91000000000003"/>
    <n v="129787.18"/>
    <n v="-24477.450000000015"/>
  </r>
  <r>
    <x v="1"/>
    <s v="UK"/>
    <s v="Food"/>
    <s v="Offline"/>
    <s v="High"/>
    <d v="2023-05-10T00:00:00"/>
    <n v="251"/>
    <n v="174.61"/>
    <n v="330.4"/>
    <n v="43827.11"/>
    <n v="-39103.289999999994"/>
  </r>
  <r>
    <x v="1"/>
    <s v="India"/>
    <s v="Furniture"/>
    <s v="Offline"/>
    <s v="High"/>
    <d v="2023-05-11T00:00:00"/>
    <n v="248.5"/>
    <n v="268.45999999999998"/>
    <n v="199.19"/>
    <n v="66712.31"/>
    <n v="17213.594999999994"/>
  </r>
  <r>
    <x v="2"/>
    <s v="USA"/>
    <s v="Furniture"/>
    <s v="Offline"/>
    <s v="High"/>
    <d v="2023-05-12T00:00:00"/>
    <n v="228"/>
    <n v="67.239999999999995"/>
    <n v="155.77000000000001"/>
    <n v="15330.72"/>
    <n v="-20184.840000000004"/>
  </r>
  <r>
    <x v="2"/>
    <s v="Australia"/>
    <s v="Furniture"/>
    <s v="Online"/>
    <s v="High"/>
    <d v="2023-05-13T00:00:00"/>
    <n v="201"/>
    <n v="70.69"/>
    <n v="181.15"/>
    <n v="14208.69"/>
    <n v="-22202.460000000003"/>
  </r>
  <r>
    <x v="2"/>
    <s v="USA"/>
    <s v="Clothing"/>
    <s v="Online"/>
    <s v="High"/>
    <d v="2023-05-14T00:00:00"/>
    <n v="26"/>
    <n v="76.05"/>
    <n v="92.33"/>
    <n v="1977.3"/>
    <n v="-423.28000000000003"/>
  </r>
  <r>
    <x v="0"/>
    <s v="USA"/>
    <s v="Clothing"/>
    <s v="Online"/>
    <s v="Low"/>
    <d v="2023-05-15T00:00:00"/>
    <n v="21"/>
    <n v="470.21"/>
    <n v="355.98"/>
    <n v="9874.41"/>
    <n v="2398.829999999999"/>
  </r>
  <r>
    <x v="2"/>
    <s v="India"/>
    <s v="Furniture"/>
    <s v="Offline"/>
    <s v="Medium"/>
    <d v="2023-05-16T00:00:00"/>
    <n v="415"/>
    <n v="367.78"/>
    <n v="181.35"/>
    <n v="152628.70000000001"/>
    <n v="77368.45"/>
  </r>
  <r>
    <x v="2"/>
    <s v="Germany"/>
    <s v="Food"/>
    <s v="Offline"/>
    <s v="High"/>
    <d v="2023-05-17T00:00:00"/>
    <n v="410"/>
    <n v="85.38"/>
    <n v="353.22"/>
    <n v="35005.800000000003"/>
    <n v="-109814.40000000001"/>
  </r>
  <r>
    <x v="2"/>
    <s v="USA"/>
    <s v="Electronics"/>
    <s v="Online"/>
    <s v="Low"/>
    <d v="2023-05-18T00:00:00"/>
    <n v="403"/>
    <n v="98.23"/>
    <n v="44.07"/>
    <n v="39586.69"/>
    <n v="21826.480000000003"/>
  </r>
  <r>
    <x v="0"/>
    <s v="UK"/>
    <s v="Food"/>
    <s v="Offline"/>
    <s v="Low"/>
    <d v="2023-05-19T00:00:00"/>
    <n v="383"/>
    <n v="366.76"/>
    <n v="395.33"/>
    <n v="140469.07999999999"/>
    <n v="-10942.309999999998"/>
  </r>
  <r>
    <x v="2"/>
    <s v="Germany"/>
    <s v="Beverages"/>
    <s v="Offline"/>
    <s v="Low"/>
    <d v="2023-05-20T00:00:00"/>
    <n v="202"/>
    <n v="82.3"/>
    <n v="178.42"/>
    <n v="16624.599999999999"/>
    <n v="-19416.239999999998"/>
  </r>
  <r>
    <x v="1"/>
    <s v="Australia"/>
    <s v="Clothing"/>
    <s v="Offline"/>
    <s v="Medium"/>
    <d v="2023-05-21T00:00:00"/>
    <n v="31"/>
    <n v="121.11"/>
    <n v="21.04"/>
    <n v="3754.41"/>
    <n v="3102.1699999999996"/>
  </r>
  <r>
    <x v="2"/>
    <s v="India"/>
    <s v="Electronics"/>
    <s v="Offline"/>
    <s v="High"/>
    <d v="2023-05-22T00:00:00"/>
    <n v="483"/>
    <n v="481.86"/>
    <n v="17.13"/>
    <n v="232738.38"/>
    <n v="224464.59"/>
  </r>
  <r>
    <x v="1"/>
    <s v="Australia"/>
    <s v="Electronics"/>
    <s v="Offline"/>
    <s v="Low"/>
    <d v="2023-05-23T00:00:00"/>
    <n v="129"/>
    <n v="131.38"/>
    <n v="298.99"/>
    <n v="16948.02"/>
    <n v="-21621.690000000002"/>
  </r>
  <r>
    <x v="1"/>
    <s v="Germany"/>
    <s v="Beverages"/>
    <s v="Online"/>
    <s v="Medium"/>
    <d v="2023-05-24T00:00:00"/>
    <n v="219"/>
    <n v="332.51"/>
    <n v="264.3"/>
    <n v="72819.69"/>
    <n v="14937.989999999996"/>
  </r>
  <r>
    <x v="1"/>
    <s v="Germany"/>
    <s v="Beverages"/>
    <s v="Offline"/>
    <s v="Medium"/>
    <d v="2023-05-25T00:00:00"/>
    <n v="315"/>
    <n v="489.42"/>
    <n v="321.25"/>
    <n v="154167.29999999999"/>
    <n v="52973.55"/>
  </r>
  <r>
    <x v="0"/>
    <s v="Germany"/>
    <s v="Furniture"/>
    <s v="Online"/>
    <s v="Medium"/>
    <d v="2023-05-26T00:00:00"/>
    <n v="279"/>
    <n v="190.28"/>
    <n v="43.94"/>
    <n v="53088.12"/>
    <n v="40828.86"/>
  </r>
  <r>
    <x v="0"/>
    <s v="Australia"/>
    <s v="Clothing"/>
    <s v="Offline"/>
    <s v="Low"/>
    <d v="2023-05-27T00:00:00"/>
    <n v="201"/>
    <n v="13.67"/>
    <n v="16.16"/>
    <n v="2747.67"/>
    <n v="-500.49000000000007"/>
  </r>
  <r>
    <x v="0"/>
    <s v="Germany"/>
    <s v="Clothing"/>
    <s v="Online"/>
    <s v="High"/>
    <d v="2023-05-28T00:00:00"/>
    <n v="184"/>
    <n v="125.85"/>
    <n v="204.41"/>
    <n v="23156.400000000001"/>
    <n v="-14455.04"/>
  </r>
  <r>
    <x v="2"/>
    <s v="Australia"/>
    <s v="Food"/>
    <s v="Offline"/>
    <s v="Low"/>
    <d v="2023-05-29T00:00:00"/>
    <n v="294"/>
    <n v="416.28"/>
    <n v="156.26"/>
    <n v="122386.32"/>
    <n v="76445.87999999999"/>
  </r>
  <r>
    <x v="1"/>
    <s v="Germany"/>
    <s v="Furniture"/>
    <s v="Online"/>
    <s v="Low"/>
    <d v="2023-05-30T00:00:00"/>
    <n v="213"/>
    <n v="432.98"/>
    <n v="185.85"/>
    <n v="92224.74"/>
    <n v="52638.69"/>
  </r>
  <r>
    <x v="0"/>
    <s v="UK"/>
    <s v="Furniture"/>
    <s v="Offline"/>
    <s v="High"/>
    <d v="2023-05-31T00:00:00"/>
    <n v="173"/>
    <n v="385.42"/>
    <n v="396.65"/>
    <n v="66677.66"/>
    <n v="-1942.7899999999934"/>
  </r>
  <r>
    <x v="0"/>
    <s v="Germany"/>
    <s v="Furniture"/>
    <s v="Online"/>
    <s v="High"/>
    <d v="2023-06-01T00:00:00"/>
    <n v="260"/>
    <n v="60.99"/>
    <n v="388.36"/>
    <n v="15857.4"/>
    <n v="-85116.2"/>
  </r>
  <r>
    <x v="2"/>
    <s v="Australia"/>
    <s v="Furniture"/>
    <s v="Offline"/>
    <s v="High"/>
    <d v="2023-06-02T00:00:00"/>
    <n v="236"/>
    <n v="398.78"/>
    <n v="377.04"/>
    <n v="94112.079999999987"/>
    <n v="5130.6399999999885"/>
  </r>
  <r>
    <x v="0"/>
    <s v="USA"/>
    <s v="Clothing"/>
    <s v="Online"/>
    <s v="Medium"/>
    <d v="2023-06-03T00:00:00"/>
    <n v="445"/>
    <n v="459.75"/>
    <n v="313.97000000000003"/>
    <n v="204588.75"/>
    <n v="64872.099999999991"/>
  </r>
  <r>
    <x v="2"/>
    <s v="Germany"/>
    <s v="Clothing"/>
    <s v="Offline"/>
    <s v="High"/>
    <d v="2023-06-04T00:00:00"/>
    <n v="390"/>
    <n v="302.3"/>
    <n v="143.22999999999999"/>
    <n v="117897"/>
    <n v="62037.30000000001"/>
  </r>
  <r>
    <x v="3"/>
    <s v="USA"/>
    <s v="Furniture"/>
    <s v="Online"/>
    <s v="Low"/>
    <d v="2023-06-05T00:00:00"/>
    <n v="469"/>
    <n v="470.73"/>
    <n v="166.03"/>
    <n v="220772.37"/>
    <n v="142904.30000000002"/>
  </r>
  <r>
    <x v="0"/>
    <s v="UK"/>
    <s v="Food"/>
    <s v="Online"/>
    <s v="High"/>
    <d v="2023-06-06T00:00:00"/>
    <n v="16"/>
    <n v="255.39500000000001"/>
    <n v="220.75"/>
    <n v="4086.32"/>
    <n v="554.32000000000016"/>
  </r>
  <r>
    <x v="3"/>
    <s v="India"/>
    <s v="Electronics"/>
    <s v="Offline"/>
    <s v="Low"/>
    <d v="2023-06-07T00:00:00"/>
    <n v="38"/>
    <n v="335.15"/>
    <n v="332.55"/>
    <n v="12735.7"/>
    <n v="98.799999999998704"/>
  </r>
  <r>
    <x v="2"/>
    <s v="UK"/>
    <s v="Beverages"/>
    <s v="Offline"/>
    <s v="Medium"/>
    <d v="2023-06-08T00:00:00"/>
    <n v="404"/>
    <n v="290.70999999999998"/>
    <n v="29.35"/>
    <n v="117446.84"/>
    <n v="105589.43999999999"/>
  </r>
  <r>
    <x v="1"/>
    <s v="Germany"/>
    <s v="Food"/>
    <s v="Online"/>
    <s v="Low"/>
    <d v="2023-06-09T00:00:00"/>
    <n v="42"/>
    <n v="177.54"/>
    <n v="170.87"/>
    <n v="7456.6799999999994"/>
    <n v="280.13999999999947"/>
  </r>
  <r>
    <x v="0"/>
    <s v="USA"/>
    <s v="Furniture"/>
    <s v="Offline"/>
    <s v="Low"/>
    <d v="2023-06-10T00:00:00"/>
    <n v="143"/>
    <n v="83.85"/>
    <n v="34.880000000000003"/>
    <n v="11990.55"/>
    <n v="7002.7099999999991"/>
  </r>
  <r>
    <x v="2"/>
    <s v="USA"/>
    <s v="Clothing"/>
    <s v="Online"/>
    <s v="High"/>
    <d v="2023-06-11T00:00:00"/>
    <n v="376"/>
    <n v="304.45"/>
    <n v="206.83"/>
    <n v="114473.2"/>
    <n v="36705.119999999988"/>
  </r>
  <r>
    <x v="1"/>
    <s v="Australia"/>
    <s v="Electronics"/>
    <s v="Online"/>
    <s v="High"/>
    <d v="2023-06-12T00:00:00"/>
    <n v="88"/>
    <n v="162.47"/>
    <n v="359.76"/>
    <n v="14297.36"/>
    <n v="-17361.52"/>
  </r>
  <r>
    <x v="1"/>
    <s v="USA"/>
    <s v="Beverages"/>
    <s v="Online"/>
    <s v="Low"/>
    <d v="2023-06-13T00:00:00"/>
    <n v="425"/>
    <n v="433.89"/>
    <n v="313.43"/>
    <n v="184403.25"/>
    <n v="51195.499999999993"/>
  </r>
  <r>
    <x v="3"/>
    <s v="Australia"/>
    <s v="Beverages"/>
    <s v="Offline"/>
    <s v="High"/>
    <d v="2023-06-14T00:00:00"/>
    <n v="444"/>
    <n v="496.7"/>
    <n v="92.68"/>
    <n v="220534.8"/>
    <n v="179384.88"/>
  </r>
  <r>
    <x v="2"/>
    <s v="India"/>
    <s v="Food"/>
    <s v="Online"/>
    <s v="Medium"/>
    <d v="2023-06-15T00:00:00"/>
    <n v="468"/>
    <n v="377.45"/>
    <n v="390.44"/>
    <n v="176646.6"/>
    <n v="-6079.3200000000043"/>
  </r>
  <r>
    <x v="1"/>
    <s v="Germany"/>
    <s v="Furniture"/>
    <s v="Online"/>
    <s v="Medium"/>
    <d v="2023-06-16T00:00:00"/>
    <n v="67"/>
    <n v="49.79"/>
    <n v="267.61"/>
    <n v="3335.93"/>
    <n v="-14593.940000000002"/>
  </r>
  <r>
    <x v="0"/>
    <s v="Australia"/>
    <s v="Electronics"/>
    <s v="Offline"/>
    <s v="High"/>
    <d v="2023-06-17T00:00:00"/>
    <n v="480"/>
    <n v="147.9"/>
    <n v="6.15"/>
    <n v="70992"/>
    <n v="68040"/>
  </r>
  <r>
    <x v="0"/>
    <s v="India"/>
    <s v="Furniture"/>
    <s v="Offline"/>
    <s v="Medium"/>
    <d v="2023-06-18T00:00:00"/>
    <n v="35"/>
    <n v="59.01"/>
    <n v="103.65"/>
    <n v="2065.35"/>
    <n v="-1562.4000000000003"/>
  </r>
  <r>
    <x v="3"/>
    <s v="USA"/>
    <s v="Electronics"/>
    <s v="Offline"/>
    <s v="High"/>
    <d v="2023-06-19T00:00:00"/>
    <n v="491"/>
    <n v="327"/>
    <n v="105.76"/>
    <n v="160557"/>
    <n v="108628.84000000001"/>
  </r>
  <r>
    <x v="1"/>
    <s v="USA"/>
    <s v="Food"/>
    <s v="Offline"/>
    <s v="Low"/>
    <d v="2023-06-20T00:00:00"/>
    <n v="439"/>
    <n v="383.77"/>
    <n v="29.56"/>
    <n v="168475.03"/>
    <n v="155498.19"/>
  </r>
  <r>
    <x v="2"/>
    <s v="India"/>
    <s v="Food"/>
    <s v="Online"/>
    <s v="Low"/>
    <d v="2023-06-21T00:00:00"/>
    <n v="235"/>
    <n v="463.21"/>
    <n v="384.01"/>
    <n v="108854.35"/>
    <n v="18611.999999999996"/>
  </r>
  <r>
    <x v="0"/>
    <s v="USA"/>
    <s v="Beverages"/>
    <s v="Online"/>
    <s v="Medium"/>
    <d v="2023-06-22T00:00:00"/>
    <n v="294"/>
    <n v="221.9"/>
    <n v="192.35"/>
    <n v="65238.6"/>
    <n v="8687.7000000000025"/>
  </r>
  <r>
    <x v="1"/>
    <s v="India"/>
    <s v="Furniture"/>
    <s v="Online"/>
    <s v="High"/>
    <d v="2023-06-23T00:00:00"/>
    <n v="13"/>
    <n v="451.18"/>
    <n v="358.53"/>
    <n v="5865.34"/>
    <n v="1204.4500000000005"/>
  </r>
  <r>
    <x v="1"/>
    <s v="Australia"/>
    <s v="Beverages"/>
    <s v="Online"/>
    <s v="High"/>
    <d v="2023-06-24T00:00:00"/>
    <n v="474"/>
    <n v="439.56"/>
    <n v="130.24"/>
    <n v="208351.44"/>
    <n v="146617.68"/>
  </r>
  <r>
    <x v="3"/>
    <s v="Australia"/>
    <s v="Furniture"/>
    <s v="Offline"/>
    <s v="Medium"/>
    <d v="2023-06-25T00:00:00"/>
    <n v="108"/>
    <n v="162.01"/>
    <n v="51.84"/>
    <n v="17497.080000000002"/>
    <n v="11898.359999999999"/>
  </r>
  <r>
    <x v="0"/>
    <s v="India"/>
    <s v="Beverages"/>
    <s v="Online"/>
    <s v="Low"/>
    <d v="2023-06-26T00:00:00"/>
    <n v="406"/>
    <n v="435.11"/>
    <n v="190.79"/>
    <n v="176654.66"/>
    <n v="99193.920000000013"/>
  </r>
  <r>
    <x v="0"/>
    <s v="Australia"/>
    <s v="Clothing"/>
    <s v="Online"/>
    <s v="Medium"/>
    <d v="2023-06-27T00:00:00"/>
    <n v="498"/>
    <n v="190.96"/>
    <n v="47.35"/>
    <n v="95098.08"/>
    <n v="71517.780000000013"/>
  </r>
  <r>
    <x v="2"/>
    <s v="Australia"/>
    <s v="Clothing"/>
    <s v="Offline"/>
    <s v="Low"/>
    <d v="2023-06-28T00:00:00"/>
    <n v="48"/>
    <n v="151.94999999999999"/>
    <n v="195.43"/>
    <n v="7293.5999999999995"/>
    <n v="-2087.0400000000009"/>
  </r>
  <r>
    <x v="0"/>
    <s v="Australia"/>
    <s v="Clothing"/>
    <s v="Online"/>
    <s v="High"/>
    <d v="2023-06-29T00:00:00"/>
    <n v="280"/>
    <n v="326.29000000000002"/>
    <n v="368.28"/>
    <n v="91361.200000000012"/>
    <n v="-11757.199999999986"/>
  </r>
  <r>
    <x v="2"/>
    <s v="UK"/>
    <s v="Clothing"/>
    <s v="Online"/>
    <s v="Low"/>
    <d v="2023-06-30T00:00:00"/>
    <n v="384"/>
    <n v="167.55"/>
    <n v="209.27"/>
    <n v="64339.199999999997"/>
    <n v="-16020.48"/>
  </r>
  <r>
    <x v="0"/>
    <s v="Germany"/>
    <s v="Electronics"/>
    <s v="Online"/>
    <s v="Medium"/>
    <d v="2023-07-01T00:00:00"/>
    <n v="294"/>
    <n v="316.95"/>
    <n v="247.37"/>
    <n v="93183.3"/>
    <n v="20456.519999999997"/>
  </r>
  <r>
    <x v="3"/>
    <s v="USA"/>
    <s v="Clothing"/>
    <s v="Online"/>
    <s v="High"/>
    <d v="2023-07-02T00:00:00"/>
    <n v="166"/>
    <n v="306.87"/>
    <n v="64.34"/>
    <n v="50940.42"/>
    <n v="40259.980000000003"/>
  </r>
  <r>
    <x v="0"/>
    <s v="UK"/>
    <s v="Food"/>
    <s v="Online"/>
    <s v="Medium"/>
    <d v="2023-07-03T00:00:00"/>
    <n v="84"/>
    <n v="283.89999999999998"/>
    <n v="19.41"/>
    <n v="23847.599999999999"/>
    <n v="22217.159999999996"/>
  </r>
  <r>
    <x v="2"/>
    <s v="Australia"/>
    <s v="Food"/>
    <s v="Online"/>
    <s v="Medium"/>
    <d v="2023-07-04T00:00:00"/>
    <n v="381"/>
    <n v="193.31"/>
    <n v="46.1"/>
    <n v="73651.11"/>
    <n v="56087.01"/>
  </r>
  <r>
    <x v="2"/>
    <s v="India"/>
    <s v="Electronics"/>
    <s v="Offline"/>
    <s v="Low"/>
    <d v="2023-07-05T00:00:00"/>
    <n v="297"/>
    <n v="276.51"/>
    <n v="240.22"/>
    <n v="82123.47"/>
    <n v="10778.129999999997"/>
  </r>
  <r>
    <x v="3"/>
    <s v="Australia"/>
    <s v="Clothing"/>
    <s v="Offline"/>
    <s v="Medium"/>
    <d v="2023-07-06T00:00:00"/>
    <n v="139"/>
    <n v="300.26"/>
    <n v="39.81"/>
    <n v="41736.14"/>
    <n v="36202.549999999996"/>
  </r>
  <r>
    <x v="0"/>
    <s v="Germany"/>
    <s v="Clothing"/>
    <s v="Online"/>
    <s v="Low"/>
    <d v="2023-07-07T00:00:00"/>
    <n v="184"/>
    <n v="275.12"/>
    <n v="151.65"/>
    <n v="50622.080000000002"/>
    <n v="22718.48"/>
  </r>
  <r>
    <x v="0"/>
    <s v="Australia"/>
    <s v="Clothing"/>
    <s v="Online"/>
    <s v="High"/>
    <d v="2023-07-08T00:00:00"/>
    <n v="471"/>
    <n v="224.99"/>
    <n v="220.94"/>
    <n v="105970.29"/>
    <n v="1907.5500000000054"/>
  </r>
  <r>
    <x v="3"/>
    <s v="India"/>
    <s v="Beverages"/>
    <s v="Offline"/>
    <s v="Low"/>
    <d v="2023-07-09T00:00:00"/>
    <n v="93"/>
    <n v="12.26"/>
    <n v="156.68"/>
    <n v="1140.18"/>
    <n v="-13431.060000000001"/>
  </r>
  <r>
    <x v="0"/>
    <s v="Germany"/>
    <s v="Furniture"/>
    <s v="Online"/>
    <s v="High"/>
    <d v="2023-07-10T00:00:00"/>
    <n v="31"/>
    <n v="295.60000000000002"/>
    <n v="67.150000000000006"/>
    <n v="9163.6"/>
    <n v="7081.9500000000007"/>
  </r>
  <r>
    <x v="0"/>
    <s v="Australia"/>
    <s v="Beverages"/>
    <s v="Online"/>
    <s v="Low"/>
    <d v="2023-07-11T00:00:00"/>
    <n v="468"/>
    <n v="88.38"/>
    <n v="110.97"/>
    <n v="41361.839999999997"/>
    <n v="-10572.12"/>
  </r>
  <r>
    <x v="2"/>
    <s v="Germany"/>
    <s v="Furniture"/>
    <s v="Online"/>
    <s v="Medium"/>
    <d v="2023-07-12T00:00:00"/>
    <n v="36"/>
    <n v="323.08"/>
    <n v="371.47"/>
    <n v="11630.88"/>
    <n v="-1742.0400000000016"/>
  </r>
  <r>
    <x v="0"/>
    <s v="USA"/>
    <s v="Clothing"/>
    <s v="Offline"/>
    <s v="Low"/>
    <d v="2023-07-13T00:00:00"/>
    <n v="204"/>
    <n v="380.88"/>
    <n v="271.04000000000002"/>
    <n v="77699.520000000004"/>
    <n v="22407.359999999993"/>
  </r>
  <r>
    <x v="0"/>
    <s v="USA"/>
    <s v="Clothing"/>
    <s v="Online"/>
    <s v="Low"/>
    <d v="2023-07-14T00:00:00"/>
    <n v="346"/>
    <n v="252.72"/>
    <n v="199.43"/>
    <n v="87441.12"/>
    <n v="18438.339999999997"/>
  </r>
  <r>
    <x v="3"/>
    <s v="Australia"/>
    <s v="Beverages"/>
    <s v="Offline"/>
    <s v="High"/>
    <d v="2023-07-15T00:00:00"/>
    <n v="391"/>
    <n v="273.47000000000003"/>
    <n v="7.06"/>
    <n v="106926.77"/>
    <n v="104166.31000000001"/>
  </r>
  <r>
    <x v="3"/>
    <s v="Germany"/>
    <s v="Beverages"/>
    <s v="Online"/>
    <s v="Medium"/>
    <d v="2023-07-16T00:00:00"/>
    <n v="245"/>
    <n v="475.98"/>
    <n v="396.98"/>
    <n v="116615.1"/>
    <n v="19355"/>
  </r>
  <r>
    <x v="1"/>
    <s v="India"/>
    <s v="Furniture"/>
    <s v="Offline"/>
    <s v="Low"/>
    <d v="2023-07-17T00:00:00"/>
    <n v="449"/>
    <n v="424.35"/>
    <n v="269.24"/>
    <n v="190533.15"/>
    <n v="69644.39"/>
  </r>
  <r>
    <x v="2"/>
    <s v="Australia"/>
    <s v="Food"/>
    <s v="Offline"/>
    <s v="Medium"/>
    <d v="2023-07-18T00:00:00"/>
    <n v="101"/>
    <n v="457.55"/>
    <n v="128.13999999999999"/>
    <n v="46212.55"/>
    <n v="33270.410000000003"/>
  </r>
  <r>
    <x v="0"/>
    <s v="USA"/>
    <s v="Furniture"/>
    <s v="Online"/>
    <s v="Low"/>
    <d v="2023-07-19T00:00:00"/>
    <n v="248.5"/>
    <n v="407.81"/>
    <n v="351.95"/>
    <n v="101340.785"/>
    <n v="13881.210000000003"/>
  </r>
  <r>
    <x v="0"/>
    <s v="USA"/>
    <s v="Beverages"/>
    <s v="Offline"/>
    <s v="Low"/>
    <d v="2023-07-20T00:00:00"/>
    <n v="30"/>
    <n v="58.91"/>
    <n v="104.86"/>
    <n v="1767.3"/>
    <n v="-1378.5"/>
  </r>
  <r>
    <x v="1"/>
    <s v="Australia"/>
    <s v="Beverages"/>
    <s v="Online"/>
    <s v="Medium"/>
    <d v="2023-07-21T00:00:00"/>
    <n v="312"/>
    <n v="78.75"/>
    <n v="218.52"/>
    <n v="24570"/>
    <n v="-43608.240000000005"/>
  </r>
  <r>
    <x v="0"/>
    <s v="Germany"/>
    <s v="Electronics"/>
    <s v="Offline"/>
    <s v="Low"/>
    <d v="2023-07-22T00:00:00"/>
    <n v="473"/>
    <n v="265.68"/>
    <n v="255.16"/>
    <n v="125666.64"/>
    <n v="4975.9600000000046"/>
  </r>
  <r>
    <x v="2"/>
    <s v="USA"/>
    <s v="Beverages"/>
    <s v="Online"/>
    <s v="Medium"/>
    <d v="2023-07-23T00:00:00"/>
    <n v="366"/>
    <n v="126.8"/>
    <n v="89.98"/>
    <n v="46408.800000000003"/>
    <n v="13476.119999999997"/>
  </r>
  <r>
    <x v="1"/>
    <s v="Germany"/>
    <s v="Electronics"/>
    <s v="Online"/>
    <s v="Low"/>
    <d v="2023-07-24T00:00:00"/>
    <n v="452"/>
    <n v="240.96"/>
    <n v="391.4"/>
    <n v="108913.92"/>
    <n v="-67998.87999999999"/>
  </r>
  <r>
    <x v="2"/>
    <s v="USA"/>
    <s v="Food"/>
    <s v="Offline"/>
    <s v="High"/>
    <d v="2023-07-25T00:00:00"/>
    <n v="93"/>
    <n v="200.21"/>
    <n v="299.77999999999997"/>
    <n v="18619.53"/>
    <n v="-9260.0099999999966"/>
  </r>
  <r>
    <x v="1"/>
    <s v="USA"/>
    <s v="Furniture"/>
    <s v="Online"/>
    <s v="Medium"/>
    <d v="2023-07-26T00:00:00"/>
    <n v="271"/>
    <n v="276.95999999999998"/>
    <n v="224.01"/>
    <n v="75056.159999999989"/>
    <n v="14349.449999999997"/>
  </r>
  <r>
    <x v="1"/>
    <s v="UK"/>
    <s v="Furniture"/>
    <s v="Online"/>
    <s v="Low"/>
    <d v="2023-07-27T00:00:00"/>
    <n v="156"/>
    <n v="374.7"/>
    <n v="73.88"/>
    <n v="58453.2"/>
    <n v="46927.92"/>
  </r>
  <r>
    <x v="3"/>
    <s v="USA"/>
    <s v="Electronics"/>
    <s v="Offline"/>
    <s v="Low"/>
    <d v="2023-07-28T00:00:00"/>
    <n v="450"/>
    <n v="359.17"/>
    <n v="23.44"/>
    <n v="161626.5"/>
    <n v="151078.5"/>
  </r>
  <r>
    <x v="2"/>
    <s v="India"/>
    <s v="Furniture"/>
    <s v="Online"/>
    <s v="High"/>
    <d v="2023-07-29T00:00:00"/>
    <n v="462"/>
    <n v="263.01"/>
    <n v="129.38"/>
    <n v="121510.62"/>
    <n v="61737.06"/>
  </r>
  <r>
    <x v="0"/>
    <s v="Australia"/>
    <s v="Beverages"/>
    <s v="Online"/>
    <s v="Medium"/>
    <d v="2023-07-30T00:00:00"/>
    <n v="396"/>
    <n v="412.08"/>
    <n v="301.77"/>
    <n v="163183.67999999999"/>
    <n v="43682.76"/>
  </r>
  <r>
    <x v="0"/>
    <s v="Australia"/>
    <s v="Clothing"/>
    <s v="Offline"/>
    <s v="Low"/>
    <d v="2023-07-31T00:00:00"/>
    <n v="266"/>
    <n v="218.28"/>
    <n v="109.19"/>
    <n v="58062.48"/>
    <n v="29017.940000000002"/>
  </r>
  <r>
    <x v="2"/>
    <s v="Germany"/>
    <s v="Electronics"/>
    <s v="Offline"/>
    <s v="High"/>
    <d v="2023-08-01T00:00:00"/>
    <n v="67"/>
    <n v="448.87"/>
    <n v="216.74"/>
    <n v="30074.29"/>
    <n v="15552.71"/>
  </r>
  <r>
    <x v="0"/>
    <s v="USA"/>
    <s v="Furniture"/>
    <s v="Online"/>
    <s v="Low"/>
    <d v="2023-08-02T00:00:00"/>
    <n v="389"/>
    <n v="40.28"/>
    <n v="291.72000000000003"/>
    <n v="15668.92"/>
    <n v="-97810.16"/>
  </r>
  <r>
    <x v="0"/>
    <s v="India"/>
    <s v="Electronics"/>
    <s v="Online"/>
    <s v="Medium"/>
    <d v="2023-08-03T00:00:00"/>
    <n v="431"/>
    <n v="477.56"/>
    <n v="44.96"/>
    <n v="205828.36"/>
    <n v="186450.6"/>
  </r>
  <r>
    <x v="2"/>
    <s v="Germany"/>
    <s v="Electronics"/>
    <s v="Offline"/>
    <s v="Low"/>
    <d v="2023-08-04T00:00:00"/>
    <n v="24"/>
    <n v="329.07"/>
    <n v="274.75"/>
    <n v="7897.68"/>
    <n v="1303.6799999999998"/>
  </r>
  <r>
    <x v="1"/>
    <s v="UK"/>
    <s v="Clothing"/>
    <s v="Offline"/>
    <s v="Low"/>
    <d v="2023-08-05T00:00:00"/>
    <n v="171"/>
    <n v="193.14"/>
    <n v="38.56"/>
    <n v="33026.94"/>
    <n v="26433.179999999997"/>
  </r>
  <r>
    <x v="2"/>
    <s v="Germany"/>
    <s v="Beverages"/>
    <s v="Online"/>
    <s v="Low"/>
    <d v="2023-08-06T00:00:00"/>
    <n v="454"/>
    <n v="102.59"/>
    <n v="386.12"/>
    <n v="46575.86"/>
    <n v="-128722.61999999998"/>
  </r>
  <r>
    <x v="1"/>
    <s v="Germany"/>
    <s v="Electronics"/>
    <s v="Offline"/>
    <s v="Low"/>
    <d v="2023-08-07T00:00:00"/>
    <n v="172"/>
    <n v="242.2"/>
    <n v="196.38"/>
    <n v="41658.400000000001"/>
    <n v="7881.0399999999991"/>
  </r>
  <r>
    <x v="0"/>
    <s v="USA"/>
    <s v="Furniture"/>
    <s v="Online"/>
    <s v="High"/>
    <d v="2023-08-08T00:00:00"/>
    <n v="329"/>
    <n v="101.31"/>
    <n v="61.97"/>
    <n v="33330.99"/>
    <n v="12942.86"/>
  </r>
  <r>
    <x v="0"/>
    <s v="UK"/>
    <s v="Food"/>
    <s v="Online"/>
    <s v="High"/>
    <d v="2023-08-09T00:00:00"/>
    <n v="290"/>
    <n v="87.33"/>
    <n v="138.27000000000001"/>
    <n v="25325.7"/>
    <n v="-14772.600000000004"/>
  </r>
  <r>
    <x v="1"/>
    <s v="Germany"/>
    <s v="Electronics"/>
    <s v="Online"/>
    <s v="Medium"/>
    <d v="2023-08-10T00:00:00"/>
    <n v="289"/>
    <n v="310.58999999999997"/>
    <n v="166.54"/>
    <n v="89760.51"/>
    <n v="41630.449999999997"/>
  </r>
  <r>
    <x v="3"/>
    <s v="India"/>
    <s v="Electronics"/>
    <s v="Online"/>
    <s v="High"/>
    <d v="2023-08-11T00:00:00"/>
    <n v="21"/>
    <n v="263.93"/>
    <n v="303.76"/>
    <n v="5542.53"/>
    <n v="-836.42999999999961"/>
  </r>
  <r>
    <x v="1"/>
    <s v="India"/>
    <s v="Clothing"/>
    <s v="Online"/>
    <s v="High"/>
    <d v="2023-08-12T00:00:00"/>
    <n v="283"/>
    <n v="336.7"/>
    <n v="297.88"/>
    <n v="95286.099999999991"/>
    <n v="10986.059999999998"/>
  </r>
  <r>
    <x v="3"/>
    <s v="Australia"/>
    <s v="Beverages"/>
    <s v="Offline"/>
    <s v="Medium"/>
    <d v="2023-08-13T00:00:00"/>
    <n v="280"/>
    <n v="465.15"/>
    <n v="245.55"/>
    <n v="130242"/>
    <n v="61487.999999999993"/>
  </r>
  <r>
    <x v="3"/>
    <s v="UK"/>
    <s v="Food"/>
    <s v="Offline"/>
    <s v="High"/>
    <d v="2023-08-14T00:00:00"/>
    <n v="217"/>
    <n v="268.47000000000003"/>
    <n v="44.16"/>
    <n v="58257.990000000013"/>
    <n v="48675.270000000004"/>
  </r>
  <r>
    <x v="2"/>
    <s v="UK"/>
    <s v="Furniture"/>
    <s v="Offline"/>
    <s v="High"/>
    <d v="2023-08-15T00:00:00"/>
    <n v="36"/>
    <n v="292.56"/>
    <n v="62.32"/>
    <n v="10532.16"/>
    <n v="8288.64"/>
  </r>
  <r>
    <x v="3"/>
    <s v="Australia"/>
    <s v="Food"/>
    <s v="Offline"/>
    <s v="Medium"/>
    <d v="2023-08-16T00:00:00"/>
    <n v="248.5"/>
    <n v="49.37"/>
    <n v="39.32"/>
    <n v="12268.445"/>
    <n v="2497.4249999999993"/>
  </r>
  <r>
    <x v="2"/>
    <s v="Germany"/>
    <s v="Furniture"/>
    <s v="Online"/>
    <s v="Medium"/>
    <d v="2023-08-17T00:00:00"/>
    <n v="69"/>
    <n v="360.23"/>
    <n v="231.71"/>
    <n v="24855.87"/>
    <n v="8867.880000000001"/>
  </r>
  <r>
    <x v="2"/>
    <s v="UK"/>
    <s v="Beverages"/>
    <s v="Online"/>
    <s v="Medium"/>
    <d v="2023-08-18T00:00:00"/>
    <n v="439"/>
    <n v="202.95"/>
    <n v="351.1"/>
    <n v="89095.049999999988"/>
    <n v="-65037.850000000013"/>
  </r>
  <r>
    <x v="3"/>
    <s v="India"/>
    <s v="Furniture"/>
    <s v="Online"/>
    <s v="Low"/>
    <d v="2023-08-19T00:00:00"/>
    <n v="482"/>
    <n v="488.48"/>
    <n v="174.65"/>
    <n v="235447.36"/>
    <n v="151266.06000000003"/>
  </r>
  <r>
    <x v="1"/>
    <s v="India"/>
    <s v="Clothing"/>
    <s v="Online"/>
    <s v="Low"/>
    <d v="2023-08-20T00:00:00"/>
    <n v="154"/>
    <n v="412.47"/>
    <n v="66.02"/>
    <n v="63520.38"/>
    <n v="53353.30000000001"/>
  </r>
  <r>
    <x v="1"/>
    <s v="USA"/>
    <s v="Clothing"/>
    <s v="Offline"/>
    <s v="Medium"/>
    <d v="2023-08-21T00:00:00"/>
    <n v="102"/>
    <n v="263.63"/>
    <n v="224.1"/>
    <n v="26890.26"/>
    <n v="4032.06"/>
  </r>
  <r>
    <x v="1"/>
    <s v="UK"/>
    <s v="Clothing"/>
    <s v="Online"/>
    <s v="Medium"/>
    <d v="2023-08-22T00:00:00"/>
    <n v="318"/>
    <n v="66"/>
    <n v="325.08"/>
    <n v="20988"/>
    <n v="-82387.439999999988"/>
  </r>
  <r>
    <x v="1"/>
    <s v="Germany"/>
    <s v="Clothing"/>
    <s v="Online"/>
    <s v="Medium"/>
    <d v="2023-08-23T00:00:00"/>
    <n v="17"/>
    <n v="430.41"/>
    <n v="297.2"/>
    <n v="7316.97"/>
    <n v="2264.5700000000006"/>
  </r>
  <r>
    <x v="1"/>
    <s v="Australia"/>
    <s v="Food"/>
    <s v="Offline"/>
    <s v="Low"/>
    <d v="2023-08-24T00:00:00"/>
    <n v="88"/>
    <n v="400.89"/>
    <n v="352.82"/>
    <n v="35278.32"/>
    <n v="4230.16"/>
  </r>
  <r>
    <x v="3"/>
    <s v="Australia"/>
    <s v="Beverages"/>
    <s v="Offline"/>
    <s v="Low"/>
    <d v="2023-08-25T00:00:00"/>
    <n v="36"/>
    <n v="96.37"/>
    <n v="112.61"/>
    <n v="3469.32"/>
    <n v="-584.63999999999987"/>
  </r>
  <r>
    <x v="3"/>
    <s v="Germany"/>
    <s v="Furniture"/>
    <s v="Offline"/>
    <s v="High"/>
    <d v="2023-08-26T00:00:00"/>
    <n v="183"/>
    <n v="151.16"/>
    <n v="79.19"/>
    <n v="27662.28"/>
    <n v="13170.51"/>
  </r>
  <r>
    <x v="0"/>
    <s v="USA"/>
    <s v="Furniture"/>
    <s v="Offline"/>
    <s v="High"/>
    <d v="2023-08-27T00:00:00"/>
    <n v="59"/>
    <n v="397.74"/>
    <n v="352.17"/>
    <n v="23466.66"/>
    <n v="2688.6299999999997"/>
  </r>
  <r>
    <x v="1"/>
    <s v="Australia"/>
    <s v="Clothing"/>
    <s v="Online"/>
    <s v="Medium"/>
    <d v="2023-08-28T00:00:00"/>
    <n v="208"/>
    <n v="96.69"/>
    <n v="263.70999999999998"/>
    <n v="20111.52"/>
    <n v="-34740.159999999996"/>
  </r>
  <r>
    <x v="3"/>
    <s v="UK"/>
    <s v="Clothing"/>
    <s v="Online"/>
    <s v="Low"/>
    <d v="2023-08-29T00:00:00"/>
    <n v="396"/>
    <n v="459.29"/>
    <n v="125.75"/>
    <n v="181878.84"/>
    <n v="132081.84"/>
  </r>
  <r>
    <x v="0"/>
    <s v="USA"/>
    <s v="Electronics"/>
    <s v="Offline"/>
    <s v="Low"/>
    <d v="2023-08-30T00:00:00"/>
    <n v="358"/>
    <n v="215.14"/>
    <n v="297.45"/>
    <n v="77020.12"/>
    <n v="-29466.98"/>
  </r>
  <r>
    <x v="1"/>
    <s v="UK"/>
    <s v="Beverages"/>
    <s v="Online"/>
    <s v="Low"/>
    <d v="2023-08-31T00:00:00"/>
    <n v="457"/>
    <n v="48.08"/>
    <n v="326.42"/>
    <n v="21972.560000000001"/>
    <n v="-127201.38000000002"/>
  </r>
  <r>
    <x v="2"/>
    <s v="India"/>
    <s v="Food"/>
    <s v="Online"/>
    <s v="Medium"/>
    <d v="2023-09-01T00:00:00"/>
    <n v="437"/>
    <n v="408.8"/>
    <n v="246.76"/>
    <n v="178645.6"/>
    <n v="70811.48000000001"/>
  </r>
  <r>
    <x v="0"/>
    <s v="USA"/>
    <s v="Furniture"/>
    <s v="Online"/>
    <s v="High"/>
    <d v="2023-09-02T00:00:00"/>
    <n v="190"/>
    <n v="189.89"/>
    <n v="275.77999999999997"/>
    <n v="36079.1"/>
    <n v="-16319.099999999997"/>
  </r>
  <r>
    <x v="3"/>
    <s v="Australia"/>
    <s v="Electronics"/>
    <s v="Offline"/>
    <s v="Medium"/>
    <d v="2023-09-03T00:00:00"/>
    <n v="33"/>
    <n v="265.62"/>
    <n v="151.35"/>
    <n v="8765.4600000000009"/>
    <n v="3770.9100000000003"/>
  </r>
  <r>
    <x v="2"/>
    <s v="USA"/>
    <s v="Electronics"/>
    <s v="Online"/>
    <s v="High"/>
    <d v="2023-09-04T00:00:00"/>
    <n v="325"/>
    <n v="60.59"/>
    <n v="216.4"/>
    <n v="19691.75"/>
    <n v="-50638.25"/>
  </r>
  <r>
    <x v="2"/>
    <s v="USA"/>
    <s v="Furniture"/>
    <s v="Offline"/>
    <s v="High"/>
    <d v="2023-09-05T00:00:00"/>
    <n v="387"/>
    <n v="6.28"/>
    <n v="210.62"/>
    <n v="2430.36"/>
    <n v="-79079.58"/>
  </r>
  <r>
    <x v="2"/>
    <s v="USA"/>
    <s v="Food"/>
    <s v="Online"/>
    <s v="Medium"/>
    <d v="2023-09-06T00:00:00"/>
    <n v="396"/>
    <n v="320.8"/>
    <n v="339.52"/>
    <n v="127036.8"/>
    <n v="-7413.1199999999881"/>
  </r>
  <r>
    <x v="0"/>
    <s v="USA"/>
    <s v="Electronics"/>
    <s v="Online"/>
    <s v="High"/>
    <d v="2023-09-07T00:00:00"/>
    <n v="413"/>
    <n v="260.01"/>
    <n v="336.31"/>
    <n v="107384.13"/>
    <n v="-31511.900000000005"/>
  </r>
  <r>
    <x v="3"/>
    <s v="UK"/>
    <s v="Electronics"/>
    <s v="Online"/>
    <s v="High"/>
    <d v="2023-09-08T00:00:00"/>
    <n v="248.5"/>
    <n v="298.8"/>
    <n v="333.41"/>
    <n v="74251.8"/>
    <n v="-8600.5850000000028"/>
  </r>
  <r>
    <x v="2"/>
    <s v="India"/>
    <s v="Beverages"/>
    <s v="Offline"/>
    <s v="Low"/>
    <d v="2023-09-09T00:00:00"/>
    <n v="24"/>
    <n v="397.9"/>
    <n v="6.39"/>
    <n v="9549.5999999999985"/>
    <n v="9396.24"/>
  </r>
  <r>
    <x v="1"/>
    <s v="Germany"/>
    <s v="Beverages"/>
    <s v="Online"/>
    <s v="High"/>
    <d v="2023-09-10T00:00:00"/>
    <n v="162"/>
    <n v="325.07"/>
    <n v="300.32"/>
    <n v="52661.34"/>
    <n v="4009.5"/>
  </r>
  <r>
    <x v="2"/>
    <s v="USA"/>
    <s v="Electronics"/>
    <s v="Offline"/>
    <s v="Medium"/>
    <d v="2023-09-11T00:00:00"/>
    <n v="231"/>
    <n v="91.51"/>
    <n v="303.95"/>
    <n v="21138.81"/>
    <n v="-49073.64"/>
  </r>
  <r>
    <x v="2"/>
    <s v="Australia"/>
    <s v="Food"/>
    <s v="Offline"/>
    <s v="Medium"/>
    <d v="2023-09-12T00:00:00"/>
    <n v="215"/>
    <n v="183.58"/>
    <n v="271.99"/>
    <n v="39469.699999999997"/>
    <n v="-19008.149999999998"/>
  </r>
  <r>
    <x v="0"/>
    <s v="USA"/>
    <s v="Furniture"/>
    <s v="Offline"/>
    <s v="High"/>
    <d v="2023-09-13T00:00:00"/>
    <n v="464"/>
    <n v="453.42"/>
    <n v="302.99"/>
    <n v="210386.88"/>
    <n v="69799.520000000004"/>
  </r>
  <r>
    <x v="0"/>
    <s v="Australia"/>
    <s v="Clothing"/>
    <s v="Online"/>
    <s v="Low"/>
    <d v="2023-09-14T00:00:00"/>
    <n v="282"/>
    <n v="255.39500000000001"/>
    <n v="337.1"/>
    <n v="72021.39"/>
    <n v="-23040.810000000005"/>
  </r>
  <r>
    <x v="3"/>
    <s v="UK"/>
    <s v="Electronics"/>
    <s v="Online"/>
    <s v="Low"/>
    <d v="2023-09-15T00:00:00"/>
    <n v="391"/>
    <n v="280.54000000000002"/>
    <n v="189.19"/>
    <n v="109691.14"/>
    <n v="35717.850000000006"/>
  </r>
  <r>
    <x v="1"/>
    <s v="Australia"/>
    <s v="Beverages"/>
    <s v="Online"/>
    <s v="High"/>
    <d v="2023-09-16T00:00:00"/>
    <n v="245"/>
    <n v="131.54"/>
    <n v="201.82"/>
    <n v="32227.3"/>
    <n v="-17218.599999999999"/>
  </r>
  <r>
    <x v="0"/>
    <s v="Germany"/>
    <s v="Furniture"/>
    <s v="Online"/>
    <s v="High"/>
    <d v="2023-09-17T00:00:00"/>
    <n v="349"/>
    <n v="154.52000000000001"/>
    <n v="51.64"/>
    <n v="53927.48"/>
    <n v="35905.120000000003"/>
  </r>
  <r>
    <x v="2"/>
    <s v="India"/>
    <s v="Food"/>
    <s v="Offline"/>
    <s v="Medium"/>
    <d v="2023-09-18T00:00:00"/>
    <n v="237"/>
    <n v="255.39500000000001"/>
    <n v="155.38"/>
    <n v="60528.615000000013"/>
    <n v="23703.555000000004"/>
  </r>
  <r>
    <x v="3"/>
    <s v="Australia"/>
    <s v="Furniture"/>
    <s v="Offline"/>
    <s v="High"/>
    <d v="2023-09-19T00:00:00"/>
    <n v="18"/>
    <n v="426.33"/>
    <n v="258.06"/>
    <n v="7673.94"/>
    <n v="3028.8599999999997"/>
  </r>
  <r>
    <x v="2"/>
    <s v="Australia"/>
    <s v="Electronics"/>
    <s v="Offline"/>
    <s v="Low"/>
    <d v="2023-09-20T00:00:00"/>
    <n v="175"/>
    <n v="337.36"/>
    <n v="312.60000000000002"/>
    <n v="59038"/>
    <n v="4332.9999999999982"/>
  </r>
  <r>
    <x v="2"/>
    <s v="India"/>
    <s v="Beverages"/>
    <s v="Online"/>
    <s v="High"/>
    <d v="2023-09-21T00:00:00"/>
    <n v="441"/>
    <n v="405.72"/>
    <n v="88.45"/>
    <n v="178922.52"/>
    <n v="139916.07"/>
  </r>
  <r>
    <x v="0"/>
    <s v="Germany"/>
    <s v="Clothing"/>
    <s v="Offline"/>
    <s v="Medium"/>
    <d v="2023-09-22T00:00:00"/>
    <n v="453"/>
    <n v="384.49"/>
    <n v="56.85"/>
    <n v="174173.97"/>
    <n v="148420.91999999998"/>
  </r>
  <r>
    <x v="3"/>
    <s v="USA"/>
    <s v="Furniture"/>
    <s v="Online"/>
    <s v="Medium"/>
    <d v="2023-09-23T00:00:00"/>
    <n v="328"/>
    <n v="79.099999999999994"/>
    <n v="265.89"/>
    <n v="25944.799999999999"/>
    <n v="-61267.119999999995"/>
  </r>
  <r>
    <x v="1"/>
    <s v="Australia"/>
    <s v="Electronics"/>
    <s v="Offline"/>
    <s v="Medium"/>
    <d v="2023-09-24T00:00:00"/>
    <n v="223"/>
    <n v="214.85"/>
    <n v="2.75"/>
    <n v="47911.55"/>
    <n v="47298.299999999996"/>
  </r>
  <r>
    <x v="1"/>
    <s v="India"/>
    <s v="Beverages"/>
    <s v="Online"/>
    <s v="Medium"/>
    <d v="2023-09-25T00:00:00"/>
    <n v="126"/>
    <n v="80.73"/>
    <n v="72.989999999999995"/>
    <n v="10171.98"/>
    <n v="975.24000000000115"/>
  </r>
  <r>
    <x v="0"/>
    <s v="UK"/>
    <s v="Food"/>
    <s v="Online"/>
    <s v="Medium"/>
    <d v="2023-09-26T00:00:00"/>
    <n v="395"/>
    <n v="121.44"/>
    <n v="13.57"/>
    <n v="47968.800000000003"/>
    <n v="42608.65"/>
  </r>
  <r>
    <x v="0"/>
    <s v="India"/>
    <s v="Furniture"/>
    <s v="Offline"/>
    <s v="High"/>
    <d v="2023-09-27T00:00:00"/>
    <n v="353"/>
    <n v="435.28"/>
    <n v="68.42"/>
    <n v="153653.84"/>
    <n v="129501.57999999999"/>
  </r>
  <r>
    <x v="3"/>
    <s v="UK"/>
    <s v="Furniture"/>
    <s v="Offline"/>
    <s v="High"/>
    <d v="2023-09-28T00:00:00"/>
    <n v="81"/>
    <n v="239.08"/>
    <n v="74.17"/>
    <n v="19365.48"/>
    <n v="13357.710000000003"/>
  </r>
  <r>
    <x v="1"/>
    <s v="Germany"/>
    <s v="Clothing"/>
    <s v="Offline"/>
    <s v="High"/>
    <d v="2023-09-29T00:00:00"/>
    <n v="404"/>
    <n v="270"/>
    <n v="156.29"/>
    <n v="109080"/>
    <n v="45938.840000000004"/>
  </r>
  <r>
    <x v="1"/>
    <s v="USA"/>
    <s v="Clothing"/>
    <s v="Offline"/>
    <s v="High"/>
    <d v="2023-09-30T00:00:00"/>
    <n v="73"/>
    <n v="93.33"/>
    <n v="162.13"/>
    <n v="6813.09"/>
    <n v="-5022.3999999999996"/>
  </r>
  <r>
    <x v="1"/>
    <s v="India"/>
    <s v="Beverages"/>
    <s v="Online"/>
    <s v="Medium"/>
    <d v="2023-10-01T00:00:00"/>
    <n v="214"/>
    <n v="159.57"/>
    <n v="349.96"/>
    <n v="34147.980000000003"/>
    <n v="-40743.46"/>
  </r>
  <r>
    <x v="2"/>
    <s v="Australia"/>
    <s v="Beverages"/>
    <s v="Offline"/>
    <s v="Low"/>
    <d v="2023-10-02T00:00:00"/>
    <n v="218"/>
    <n v="118.97"/>
    <n v="205.02"/>
    <n v="25935.46"/>
    <n v="-18758.900000000001"/>
  </r>
  <r>
    <x v="1"/>
    <s v="Germany"/>
    <s v="Electronics"/>
    <s v="Offline"/>
    <s v="High"/>
    <d v="2023-10-03T00:00:00"/>
    <n v="81"/>
    <n v="107.06"/>
    <n v="289.92"/>
    <n v="8671.86"/>
    <n v="-14811.660000000002"/>
  </r>
  <r>
    <x v="2"/>
    <s v="India"/>
    <s v="Electronics"/>
    <s v="Offline"/>
    <s v="Low"/>
    <d v="2023-10-04T00:00:00"/>
    <n v="286"/>
    <n v="320.79000000000002"/>
    <n v="43.45"/>
    <n v="91745.94"/>
    <n v="79319.240000000005"/>
  </r>
  <r>
    <x v="3"/>
    <s v="Australia"/>
    <s v="Beverages"/>
    <s v="Online"/>
    <s v="High"/>
    <d v="2023-10-05T00:00:00"/>
    <n v="283"/>
    <n v="132.16"/>
    <n v="91.72"/>
    <n v="37401.279999999999"/>
    <n v="11444.519999999999"/>
  </r>
  <r>
    <x v="2"/>
    <s v="India"/>
    <s v="Beverages"/>
    <s v="Online"/>
    <s v="High"/>
    <d v="2023-10-06T00:00:00"/>
    <n v="487"/>
    <n v="317.85000000000002"/>
    <n v="281.77"/>
    <n v="154792.95000000001"/>
    <n v="17570.960000000021"/>
  </r>
  <r>
    <x v="3"/>
    <s v="UK"/>
    <s v="Food"/>
    <s v="Offline"/>
    <s v="Low"/>
    <d v="2023-10-07T00:00:00"/>
    <n v="329"/>
    <n v="33.94"/>
    <n v="23.02"/>
    <n v="11166.26"/>
    <n v="3592.6799999999994"/>
  </r>
  <r>
    <x v="1"/>
    <s v="India"/>
    <s v="Clothing"/>
    <s v="Online"/>
    <s v="Medium"/>
    <d v="2023-10-08T00:00:00"/>
    <n v="347"/>
    <n v="75.180000000000007"/>
    <n v="195.67"/>
    <n v="26087.46"/>
    <n v="-41810.029999999992"/>
  </r>
  <r>
    <x v="1"/>
    <s v="India"/>
    <s v="Electronics"/>
    <s v="Offline"/>
    <s v="High"/>
    <d v="2023-10-09T00:00:00"/>
    <n v="375"/>
    <n v="140.9"/>
    <n v="240.55"/>
    <n v="52837.5"/>
    <n v="-37368.75"/>
  </r>
  <r>
    <x v="3"/>
    <s v="India"/>
    <s v="Clothing"/>
    <s v="Online"/>
    <s v="High"/>
    <d v="2023-10-10T00:00:00"/>
    <n v="104"/>
    <n v="300.54000000000002"/>
    <n v="241.65"/>
    <n v="31256.16"/>
    <n v="6124.5600000000013"/>
  </r>
  <r>
    <x v="0"/>
    <s v="Germany"/>
    <s v="Beverages"/>
    <s v="Online"/>
    <s v="High"/>
    <d v="2023-10-11T00:00:00"/>
    <n v="175"/>
    <n v="339.54"/>
    <n v="11.13"/>
    <n v="59419.5"/>
    <n v="57471.750000000007"/>
  </r>
  <r>
    <x v="3"/>
    <s v="India"/>
    <s v="Beverages"/>
    <s v="Online"/>
    <s v="Low"/>
    <d v="2023-10-12T00:00:00"/>
    <n v="41"/>
    <n v="224.14"/>
    <n v="130.19999999999999"/>
    <n v="9189.74"/>
    <n v="3851.54"/>
  </r>
  <r>
    <x v="0"/>
    <s v="Australia"/>
    <s v="Food"/>
    <s v="Online"/>
    <s v="Medium"/>
    <d v="2023-10-13T00:00:00"/>
    <n v="20"/>
    <n v="225.67"/>
    <n v="255.32"/>
    <n v="4513.3999999999996"/>
    <n v="-593.00000000000011"/>
  </r>
  <r>
    <x v="2"/>
    <s v="UK"/>
    <s v="Furniture"/>
    <s v="Offline"/>
    <s v="Low"/>
    <d v="2023-10-14T00:00:00"/>
    <n v="310"/>
    <n v="363.64"/>
    <n v="61.3"/>
    <n v="112728.4"/>
    <n v="93725.4"/>
  </r>
  <r>
    <x v="2"/>
    <s v="UK"/>
    <s v="Food"/>
    <s v="Offline"/>
    <s v="Low"/>
    <d v="2023-10-15T00:00:00"/>
    <n v="226"/>
    <n v="255.39500000000001"/>
    <n v="278.77999999999997"/>
    <n v="57719.27"/>
    <n v="-5285.0099999999911"/>
  </r>
  <r>
    <x v="2"/>
    <s v="India"/>
    <s v="Food"/>
    <s v="Offline"/>
    <s v="Medium"/>
    <d v="2023-10-16T00:00:00"/>
    <n v="248.5"/>
    <n v="173.84"/>
    <n v="298.88"/>
    <n v="43199.24"/>
    <n v="-31072.44"/>
  </r>
  <r>
    <x v="1"/>
    <s v="Germany"/>
    <s v="Clothing"/>
    <s v="Online"/>
    <s v="Low"/>
    <d v="2023-10-17T00:00:00"/>
    <n v="111"/>
    <n v="410.26"/>
    <n v="392.82"/>
    <n v="45538.86"/>
    <n v="1935.8399999999997"/>
  </r>
  <r>
    <x v="2"/>
    <s v="Germany"/>
    <s v="Food"/>
    <s v="Offline"/>
    <s v="Medium"/>
    <d v="2023-10-18T00:00:00"/>
    <n v="434"/>
    <n v="303.58999999999997"/>
    <n v="85.52"/>
    <n v="131758.06"/>
    <n v="94642.37999999999"/>
  </r>
  <r>
    <x v="0"/>
    <s v="Australia"/>
    <s v="Electronics"/>
    <s v="Offline"/>
    <s v="High"/>
    <d v="2023-10-19T00:00:00"/>
    <n v="401"/>
    <n v="171.93"/>
    <n v="330.4"/>
    <n v="68943.930000000008"/>
    <n v="-63546.469999999987"/>
  </r>
  <r>
    <x v="2"/>
    <s v="India"/>
    <s v="Clothing"/>
    <s v="Offline"/>
    <s v="Medium"/>
    <d v="2023-10-20T00:00:00"/>
    <n v="276"/>
    <n v="453.23"/>
    <n v="209.08"/>
    <n v="125091.48"/>
    <n v="67385.400000000009"/>
  </r>
  <r>
    <x v="3"/>
    <s v="UK"/>
    <s v="Electronics"/>
    <s v="Online"/>
    <s v="High"/>
    <d v="2023-10-21T00:00:00"/>
    <n v="248.5"/>
    <n v="387.45"/>
    <n v="150.63999999999999"/>
    <n v="96281.324999999997"/>
    <n v="58847.285000000003"/>
  </r>
  <r>
    <x v="3"/>
    <s v="Germany"/>
    <s v="Furniture"/>
    <s v="Online"/>
    <s v="Low"/>
    <d v="2023-10-22T00:00:00"/>
    <n v="188"/>
    <n v="136.12"/>
    <n v="50.71"/>
    <n v="25590.560000000001"/>
    <n v="16057.08"/>
  </r>
  <r>
    <x v="1"/>
    <s v="India"/>
    <s v="Clothing"/>
    <s v="Online"/>
    <s v="Low"/>
    <d v="2023-10-23T00:00:00"/>
    <n v="97"/>
    <n v="324.42"/>
    <n v="294.73"/>
    <n v="31468.74"/>
    <n v="2879.93"/>
  </r>
  <r>
    <x v="3"/>
    <s v="Germany"/>
    <s v="Furniture"/>
    <s v="Offline"/>
    <s v="High"/>
    <d v="2023-10-24T00:00:00"/>
    <n v="50"/>
    <n v="299.89999999999998"/>
    <n v="95.87"/>
    <n v="14995"/>
    <n v="10201.499999999998"/>
  </r>
  <r>
    <x v="0"/>
    <s v="Germany"/>
    <s v="Clothing"/>
    <s v="Offline"/>
    <s v="Low"/>
    <d v="2023-10-25T00:00:00"/>
    <n v="410"/>
    <n v="203.59"/>
    <n v="149.83000000000001"/>
    <n v="83471.899999999994"/>
    <n v="22041.599999999995"/>
  </r>
  <r>
    <x v="2"/>
    <s v="UK"/>
    <s v="Beverages"/>
    <s v="Offline"/>
    <s v="Medium"/>
    <d v="2023-10-26T00:00:00"/>
    <n v="85"/>
    <n v="186.64"/>
    <n v="26.89"/>
    <n v="15864.4"/>
    <n v="13578.75"/>
  </r>
  <r>
    <x v="1"/>
    <s v="USA"/>
    <s v="Food"/>
    <s v="Online"/>
    <s v="High"/>
    <d v="2023-10-27T00:00:00"/>
    <n v="386"/>
    <n v="175.06"/>
    <n v="320.94"/>
    <n v="67573.16"/>
    <n v="-56309.68"/>
  </r>
  <r>
    <x v="2"/>
    <s v="Australia"/>
    <s v="Beverages"/>
    <s v="Online"/>
    <s v="Low"/>
    <d v="2023-10-28T00:00:00"/>
    <n v="55"/>
    <n v="310.49"/>
    <n v="307.10000000000002"/>
    <n v="17076.95"/>
    <n v="186.44999999999925"/>
  </r>
  <r>
    <x v="2"/>
    <s v="Australia"/>
    <s v="Furniture"/>
    <s v="Offline"/>
    <s v="High"/>
    <d v="2023-10-29T00:00:00"/>
    <n v="169"/>
    <n v="223.99"/>
    <n v="293.98"/>
    <n v="37854.31"/>
    <n v="-11828.310000000001"/>
  </r>
  <r>
    <x v="0"/>
    <s v="UK"/>
    <s v="Food"/>
    <s v="Online"/>
    <s v="Medium"/>
    <d v="2023-10-30T00:00:00"/>
    <n v="472"/>
    <n v="416.77"/>
    <n v="121.18"/>
    <n v="196715.44"/>
    <n v="139518.47999999998"/>
  </r>
  <r>
    <x v="3"/>
    <s v="Germany"/>
    <s v="Clothing"/>
    <s v="Online"/>
    <s v="Medium"/>
    <d v="2023-10-31T00:00:00"/>
    <n v="89"/>
    <n v="336.45"/>
    <n v="71.05"/>
    <n v="29944.05"/>
    <n v="23620.6"/>
  </r>
  <r>
    <x v="3"/>
    <s v="India"/>
    <s v="Food"/>
    <s v="Online"/>
    <s v="Low"/>
    <d v="2023-11-01T00:00:00"/>
    <n v="319"/>
    <n v="39.619999999999997"/>
    <n v="255.75"/>
    <n v="12638.78"/>
    <n v="-68945.47"/>
  </r>
  <r>
    <x v="2"/>
    <s v="Germany"/>
    <s v="Beverages"/>
    <s v="Online"/>
    <s v="Medium"/>
    <d v="2023-11-02T00:00:00"/>
    <n v="95"/>
    <n v="321.88"/>
    <n v="199.47"/>
    <n v="30578.6"/>
    <n v="11628.949999999999"/>
  </r>
  <r>
    <x v="1"/>
    <s v="UK"/>
    <s v="Beverages"/>
    <s v="Offline"/>
    <s v="High"/>
    <d v="2023-11-03T00:00:00"/>
    <n v="101"/>
    <n v="139.22"/>
    <n v="72.94"/>
    <n v="14061.22"/>
    <n v="6694.28"/>
  </r>
  <r>
    <x v="3"/>
    <s v="Australia"/>
    <s v="Beverages"/>
    <s v="Online"/>
    <s v="Medium"/>
    <d v="2023-11-04T00:00:00"/>
    <n v="157"/>
    <n v="255.39500000000001"/>
    <n v="274.99"/>
    <n v="40097.014999999999"/>
    <n v="-3076.415"/>
  </r>
  <r>
    <x v="1"/>
    <s v="Germany"/>
    <s v="Food"/>
    <s v="Online"/>
    <s v="High"/>
    <d v="2023-11-05T00:00:00"/>
    <n v="170"/>
    <n v="341.67"/>
    <n v="396.47"/>
    <n v="58083.9"/>
    <n v="-9316.0000000000018"/>
  </r>
  <r>
    <x v="3"/>
    <s v="Australia"/>
    <s v="Electronics"/>
    <s v="Online"/>
    <s v="High"/>
    <d v="2023-11-06T00:00:00"/>
    <n v="211"/>
    <n v="119.26"/>
    <n v="299.39"/>
    <n v="25163.86"/>
    <n v="-38007.43"/>
  </r>
  <r>
    <x v="1"/>
    <s v="India"/>
    <s v="Furniture"/>
    <s v="Online"/>
    <s v="Medium"/>
    <d v="2023-11-07T00:00:00"/>
    <n v="433"/>
    <n v="231.15"/>
    <n v="296.51"/>
    <n v="100087.95"/>
    <n v="-28300.879999999994"/>
  </r>
  <r>
    <x v="0"/>
    <s v="Australia"/>
    <s v="Beverages"/>
    <s v="Offline"/>
    <s v="Low"/>
    <d v="2023-11-08T00:00:00"/>
    <n v="425"/>
    <n v="99.21"/>
    <n v="380.22"/>
    <n v="42164.25"/>
    <n v="-119429.25000000001"/>
  </r>
  <r>
    <x v="1"/>
    <s v="Australia"/>
    <s v="Clothing"/>
    <s v="Offline"/>
    <s v="Medium"/>
    <d v="2023-11-09T00:00:00"/>
    <n v="251"/>
    <n v="30.91"/>
    <n v="82.77"/>
    <n v="7758.41"/>
    <n v="-13016.86"/>
  </r>
  <r>
    <x v="0"/>
    <s v="USA"/>
    <s v="Food"/>
    <s v="Online"/>
    <s v="High"/>
    <d v="2023-11-10T00:00:00"/>
    <n v="248.5"/>
    <n v="192.35"/>
    <n v="227.09"/>
    <n v="47798.974999999999"/>
    <n v="-8632.8900000000031"/>
  </r>
  <r>
    <x v="0"/>
    <s v="USA"/>
    <s v="Beverages"/>
    <s v="Online"/>
    <s v="High"/>
    <d v="2023-11-11T00:00:00"/>
    <n v="11"/>
    <n v="184.66"/>
    <n v="391.9"/>
    <n v="2031.26"/>
    <n v="-2279.64"/>
  </r>
  <r>
    <x v="1"/>
    <s v="USA"/>
    <s v="Clothing"/>
    <s v="Online"/>
    <s v="Medium"/>
    <d v="2023-11-12T00:00:00"/>
    <n v="234"/>
    <n v="497.76"/>
    <n v="67.790000000000006"/>
    <n v="116475.84"/>
    <n v="100612.98"/>
  </r>
  <r>
    <x v="0"/>
    <s v="Australia"/>
    <s v="Clothing"/>
    <s v="Online"/>
    <s v="Low"/>
    <d v="2023-11-13T00:00:00"/>
    <n v="248.5"/>
    <n v="225.94"/>
    <n v="280.7"/>
    <n v="56146.09"/>
    <n v="-13607.859999999997"/>
  </r>
  <r>
    <x v="2"/>
    <s v="UK"/>
    <s v="Electronics"/>
    <s v="Online"/>
    <s v="Low"/>
    <d v="2023-11-14T00:00:00"/>
    <n v="242"/>
    <n v="170.12"/>
    <n v="235.15"/>
    <n v="41169.040000000001"/>
    <n v="-15737.26"/>
  </r>
  <r>
    <x v="0"/>
    <s v="Australia"/>
    <s v="Furniture"/>
    <s v="Online"/>
    <s v="High"/>
    <d v="2023-11-15T00:00:00"/>
    <n v="470"/>
    <n v="292.33999999999997"/>
    <n v="235.42"/>
    <n v="137399.79999999999"/>
    <n v="26752.399999999994"/>
  </r>
  <r>
    <x v="3"/>
    <s v="UK"/>
    <s v="Furniture"/>
    <s v="Offline"/>
    <s v="High"/>
    <d v="2023-11-16T00:00:00"/>
    <n v="423"/>
    <n v="48.94"/>
    <n v="279.67"/>
    <n v="20701.62"/>
    <n v="-97598.790000000008"/>
  </r>
  <r>
    <x v="1"/>
    <s v="UK"/>
    <s v="Beverages"/>
    <s v="Online"/>
    <s v="Low"/>
    <d v="2023-11-17T00:00:00"/>
    <n v="426"/>
    <n v="481.02"/>
    <n v="371.99"/>
    <n v="204914.52"/>
    <n v="46446.779999999992"/>
  </r>
  <r>
    <x v="2"/>
    <s v="USA"/>
    <s v="Furniture"/>
    <s v="Offline"/>
    <s v="Medium"/>
    <d v="2023-11-18T00:00:00"/>
    <n v="86"/>
    <n v="319.31"/>
    <n v="313.47000000000003"/>
    <n v="27460.66"/>
    <n v="502.23999999999785"/>
  </r>
  <r>
    <x v="1"/>
    <s v="Germany"/>
    <s v="Food"/>
    <s v="Offline"/>
    <s v="High"/>
    <d v="2023-11-19T00:00:00"/>
    <n v="125"/>
    <n v="378.64"/>
    <n v="24.34"/>
    <n v="47330"/>
    <n v="44287.5"/>
  </r>
  <r>
    <x v="3"/>
    <s v="India"/>
    <s v="Beverages"/>
    <s v="Online"/>
    <s v="High"/>
    <d v="2023-11-20T00:00:00"/>
    <n v="163"/>
    <n v="89.39"/>
    <n v="341.39"/>
    <n v="14570.57"/>
    <n v="-41076"/>
  </r>
  <r>
    <x v="3"/>
    <s v="USA"/>
    <s v="Beverages"/>
    <s v="Offline"/>
    <s v="Low"/>
    <d v="2023-11-21T00:00:00"/>
    <n v="415"/>
    <n v="207.69"/>
    <n v="91.77"/>
    <n v="86191.35"/>
    <n v="48106.8"/>
  </r>
  <r>
    <x v="3"/>
    <s v="USA"/>
    <s v="Furniture"/>
    <s v="Offline"/>
    <s v="Medium"/>
    <d v="2023-11-22T00:00:00"/>
    <n v="112"/>
    <n v="214.23"/>
    <n v="152.01"/>
    <n v="23993.759999999998"/>
    <n v="6968.6399999999994"/>
  </r>
  <r>
    <x v="0"/>
    <s v="Germany"/>
    <s v="Food"/>
    <s v="Offline"/>
    <s v="Low"/>
    <d v="2023-11-23T00:00:00"/>
    <n v="203"/>
    <n v="411.79"/>
    <n v="185.77"/>
    <n v="83593.37000000001"/>
    <n v="45882.060000000005"/>
  </r>
  <r>
    <x v="0"/>
    <s v="India"/>
    <s v="Electronics"/>
    <s v="Offline"/>
    <s v="Medium"/>
    <d v="2023-11-24T00:00:00"/>
    <n v="248.5"/>
    <n v="5.61"/>
    <n v="193.4"/>
    <n v="1394.085"/>
    <n v="-46665.814999999995"/>
  </r>
  <r>
    <x v="1"/>
    <s v="Australia"/>
    <s v="Beverages"/>
    <s v="Offline"/>
    <s v="Medium"/>
    <d v="2023-11-25T00:00:00"/>
    <n v="368"/>
    <n v="153.91999999999999"/>
    <n v="175.2"/>
    <n v="56642.559999999998"/>
    <n v="-7831.0400000000009"/>
  </r>
  <r>
    <x v="1"/>
    <s v="Australia"/>
    <s v="Electronics"/>
    <s v="Offline"/>
    <s v="Medium"/>
    <d v="2023-11-26T00:00:00"/>
    <n v="99"/>
    <n v="490.71"/>
    <n v="375.07"/>
    <n v="48580.29"/>
    <n v="11448.359999999999"/>
  </r>
  <r>
    <x v="2"/>
    <s v="USA"/>
    <s v="Electronics"/>
    <s v="Online"/>
    <s v="High"/>
    <d v="2023-11-27T00:00:00"/>
    <n v="183"/>
    <n v="240.07"/>
    <n v="283"/>
    <n v="43932.81"/>
    <n v="-7856.1900000000014"/>
  </r>
  <r>
    <x v="1"/>
    <s v="India"/>
    <s v="Electronics"/>
    <s v="Offline"/>
    <s v="Low"/>
    <d v="2023-11-28T00:00:00"/>
    <n v="131"/>
    <n v="194.35"/>
    <n v="253.21"/>
    <n v="25459.85"/>
    <n v="-7710.6600000000017"/>
  </r>
  <r>
    <x v="1"/>
    <s v="USA"/>
    <s v="Clothing"/>
    <s v="Offline"/>
    <s v="Low"/>
    <d v="2023-11-29T00:00:00"/>
    <n v="152"/>
    <n v="64.319999999999993"/>
    <n v="21.84"/>
    <n v="9776.64"/>
    <n v="6456.9599999999982"/>
  </r>
  <r>
    <x v="0"/>
    <s v="UK"/>
    <s v="Clothing"/>
    <s v="Offline"/>
    <s v="Medium"/>
    <d v="2023-11-30T00:00:00"/>
    <n v="491"/>
    <n v="487.21"/>
    <n v="361.76"/>
    <n v="239220.11"/>
    <n v="61595.95"/>
  </r>
  <r>
    <x v="3"/>
    <s v="USA"/>
    <s v="Electronics"/>
    <s v="Online"/>
    <s v="High"/>
    <d v="2023-12-01T00:00:00"/>
    <n v="115"/>
    <n v="14.91"/>
    <n v="363.94"/>
    <n v="1714.65"/>
    <n v="-40138.449999999997"/>
  </r>
  <r>
    <x v="1"/>
    <s v="USA"/>
    <s v="Beverages"/>
    <s v="Offline"/>
    <s v="High"/>
    <d v="2023-12-02T00:00:00"/>
    <n v="384"/>
    <n v="369.9"/>
    <n v="312.52"/>
    <n v="142041.60000000001"/>
    <n v="22033.919999999998"/>
  </r>
  <r>
    <x v="2"/>
    <s v="Australia"/>
    <s v="Food"/>
    <s v="Online"/>
    <s v="Low"/>
    <d v="2023-12-03T00:00:00"/>
    <n v="437"/>
    <n v="385.46"/>
    <n v="4.8"/>
    <n v="168446.02"/>
    <n v="166348.41999999998"/>
  </r>
  <r>
    <x v="0"/>
    <s v="Australia"/>
    <s v="Food"/>
    <s v="Offline"/>
    <s v="High"/>
    <d v="2023-12-04T00:00:00"/>
    <n v="314"/>
    <n v="125.61"/>
    <n v="24.8"/>
    <n v="39441.54"/>
    <n v="31654.34"/>
  </r>
  <r>
    <x v="1"/>
    <s v="Australia"/>
    <s v="Furniture"/>
    <s v="Online"/>
    <s v="High"/>
    <d v="2023-12-05T00:00:00"/>
    <n v="369"/>
    <n v="337.42"/>
    <n v="91.64"/>
    <n v="124507.98"/>
    <n v="90692.82"/>
  </r>
  <r>
    <x v="1"/>
    <s v="UK"/>
    <s v="Beverages"/>
    <s v="Online"/>
    <s v="Medium"/>
    <d v="2023-12-06T00:00:00"/>
    <n v="468"/>
    <n v="51"/>
    <n v="54.28"/>
    <n v="23868"/>
    <n v="-1535.0400000000004"/>
  </r>
  <r>
    <x v="0"/>
    <s v="Australia"/>
    <s v="Clothing"/>
    <s v="Offline"/>
    <s v="High"/>
    <d v="2023-12-07T00:00:00"/>
    <n v="326"/>
    <n v="132.24"/>
    <n v="160.74"/>
    <n v="43110.240000000013"/>
    <n v="-9291"/>
  </r>
  <r>
    <x v="1"/>
    <s v="India"/>
    <s v="Electronics"/>
    <s v="Offline"/>
    <s v="Medium"/>
    <d v="2023-12-08T00:00:00"/>
    <n v="460"/>
    <n v="395.01"/>
    <n v="369.2"/>
    <n v="181704.6"/>
    <n v="11872.6"/>
  </r>
  <r>
    <x v="0"/>
    <s v="Germany"/>
    <s v="Furniture"/>
    <s v="Online"/>
    <s v="Low"/>
    <d v="2023-12-09T00:00:00"/>
    <n v="132"/>
    <n v="433.02"/>
    <n v="189.88"/>
    <n v="57158.64"/>
    <n v="32094.48"/>
  </r>
  <r>
    <x v="3"/>
    <s v="India"/>
    <s v="Food"/>
    <s v="Offline"/>
    <s v="High"/>
    <d v="2023-12-10T00:00:00"/>
    <n v="399"/>
    <n v="306.2"/>
    <n v="7.33"/>
    <n v="122173.8"/>
    <n v="119249.13"/>
  </r>
  <r>
    <x v="0"/>
    <s v="India"/>
    <s v="Clothing"/>
    <s v="Online"/>
    <s v="Low"/>
    <d v="2023-12-11T00:00:00"/>
    <n v="18"/>
    <n v="255.89"/>
    <n v="114.53"/>
    <n v="4606.0200000000004"/>
    <n v="2544.4799999999996"/>
  </r>
  <r>
    <x v="0"/>
    <s v="Australia"/>
    <s v="Clothing"/>
    <s v="Online"/>
    <s v="Low"/>
    <d v="2023-12-12T00:00:00"/>
    <n v="271"/>
    <n v="83.86"/>
    <n v="19.75"/>
    <n v="22726.06"/>
    <n v="17373.810000000001"/>
  </r>
  <r>
    <x v="1"/>
    <s v="Germany"/>
    <s v="Electronics"/>
    <s v="Online"/>
    <s v="High"/>
    <d v="2023-12-13T00:00:00"/>
    <n v="82"/>
    <n v="36.24"/>
    <n v="16.440000000000001"/>
    <n v="2971.68"/>
    <n v="1623.6000000000001"/>
  </r>
  <r>
    <x v="1"/>
    <s v="Germany"/>
    <s v="Food"/>
    <s v="Online"/>
    <s v="High"/>
    <d v="2023-12-14T00:00:00"/>
    <n v="368"/>
    <n v="63.24"/>
    <n v="111.74"/>
    <n v="23272.32"/>
    <n v="-17847.999999999996"/>
  </r>
  <r>
    <x v="1"/>
    <s v="Germany"/>
    <s v="Beverages"/>
    <s v="Online"/>
    <s v="Low"/>
    <d v="2023-12-15T00:00:00"/>
    <n v="232"/>
    <n v="117.54"/>
    <n v="111.69"/>
    <n v="27269.279999999999"/>
    <n v="1357.2000000000021"/>
  </r>
  <r>
    <x v="0"/>
    <s v="UK"/>
    <s v="Clothing"/>
    <s v="Offline"/>
    <s v="High"/>
    <d v="2023-12-16T00:00:00"/>
    <n v="425"/>
    <n v="174.13"/>
    <n v="315.27999999999997"/>
    <n v="74005.25"/>
    <n v="-59988.749999999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x v="0"/>
    <x v="0"/>
    <x v="0"/>
    <x v="0"/>
    <n v="235"/>
    <n v="152.91999999999999"/>
    <n v="153.6"/>
    <n v="35936.199999999997"/>
    <n v="-159.8000000000016"/>
  </r>
  <r>
    <x v="1"/>
    <x v="1"/>
    <x v="1"/>
    <x v="0"/>
    <x v="1"/>
    <x v="1"/>
    <n v="341"/>
    <n v="467.92"/>
    <n v="139.84"/>
    <n v="159560.72"/>
    <n v="111875.28000000001"/>
  </r>
  <r>
    <x v="2"/>
    <x v="1"/>
    <x v="2"/>
    <x v="1"/>
    <x v="0"/>
    <x v="2"/>
    <n v="179"/>
    <n v="473.94"/>
    <n v="97.14"/>
    <n v="84835.26"/>
    <n v="67447.199999999997"/>
  </r>
  <r>
    <x v="0"/>
    <x v="2"/>
    <x v="3"/>
    <x v="1"/>
    <x v="2"/>
    <x v="3"/>
    <n v="18"/>
    <n v="314.52999999999997"/>
    <n v="204.87"/>
    <n v="5661.5399999999991"/>
    <n v="1973.8799999999994"/>
  </r>
  <r>
    <x v="0"/>
    <x v="1"/>
    <x v="3"/>
    <x v="1"/>
    <x v="2"/>
    <x v="4"/>
    <n v="472"/>
    <n v="392.79"/>
    <n v="330.46"/>
    <n v="185396.88"/>
    <n v="29419.76000000002"/>
  </r>
  <r>
    <x v="1"/>
    <x v="3"/>
    <x v="2"/>
    <x v="0"/>
    <x v="0"/>
    <x v="5"/>
    <n v="49"/>
    <n v="308.07"/>
    <n v="113.32"/>
    <n v="15095.43"/>
    <n v="9542.75"/>
  </r>
  <r>
    <x v="2"/>
    <x v="0"/>
    <x v="2"/>
    <x v="0"/>
    <x v="1"/>
    <x v="6"/>
    <n v="34"/>
    <n v="244.78"/>
    <n v="377.07"/>
    <n v="8322.52"/>
    <n v="-4497.8599999999997"/>
  </r>
  <r>
    <x v="2"/>
    <x v="1"/>
    <x v="0"/>
    <x v="0"/>
    <x v="0"/>
    <x v="7"/>
    <n v="270"/>
    <n v="332.11"/>
    <n v="349.59"/>
    <n v="89669.7"/>
    <n v="-4719.5999999999894"/>
  </r>
  <r>
    <x v="0"/>
    <x v="1"/>
    <x v="0"/>
    <x v="0"/>
    <x v="1"/>
    <x v="8"/>
    <n v="404"/>
    <n v="278.74"/>
    <n v="66.38"/>
    <n v="112610.96"/>
    <n v="85793.44"/>
  </r>
  <r>
    <x v="1"/>
    <x v="2"/>
    <x v="3"/>
    <x v="0"/>
    <x v="2"/>
    <x v="9"/>
    <n v="452"/>
    <n v="300.75"/>
    <n v="314.94"/>
    <n v="135939"/>
    <n v="-6413.8799999999992"/>
  </r>
  <r>
    <x v="0"/>
    <x v="2"/>
    <x v="1"/>
    <x v="0"/>
    <x v="1"/>
    <x v="10"/>
    <n v="235"/>
    <n v="393"/>
    <n v="230.69"/>
    <n v="92355"/>
    <n v="38142.85"/>
  </r>
  <r>
    <x v="0"/>
    <x v="3"/>
    <x v="3"/>
    <x v="1"/>
    <x v="2"/>
    <x v="11"/>
    <n v="481"/>
    <n v="243.05"/>
    <n v="227.5"/>
    <n v="116907.05"/>
    <n v="7479.5500000000056"/>
  </r>
  <r>
    <x v="0"/>
    <x v="0"/>
    <x v="1"/>
    <x v="1"/>
    <x v="1"/>
    <x v="12"/>
    <n v="133"/>
    <n v="25.17"/>
    <n v="157.63999999999999"/>
    <n v="3347.61"/>
    <n v="-17618.509999999995"/>
  </r>
  <r>
    <x v="0"/>
    <x v="2"/>
    <x v="1"/>
    <x v="1"/>
    <x v="1"/>
    <x v="13"/>
    <n v="472"/>
    <n v="86.18"/>
    <n v="201.46"/>
    <n v="40676.960000000006"/>
    <n v="-54412.160000000003"/>
  </r>
  <r>
    <x v="1"/>
    <x v="1"/>
    <x v="0"/>
    <x v="1"/>
    <x v="1"/>
    <x v="14"/>
    <n v="47"/>
    <n v="222.11"/>
    <n v="160.08000000000001"/>
    <n v="10439.17"/>
    <n v="2915.41"/>
  </r>
  <r>
    <x v="2"/>
    <x v="0"/>
    <x v="4"/>
    <x v="0"/>
    <x v="0"/>
    <x v="15"/>
    <n v="337"/>
    <n v="363.79"/>
    <n v="216.81"/>
    <n v="122597.23"/>
    <n v="49532.260000000009"/>
  </r>
  <r>
    <x v="1"/>
    <x v="0"/>
    <x v="4"/>
    <x v="0"/>
    <x v="0"/>
    <x v="16"/>
    <n v="260"/>
    <n v="298.67"/>
    <n v="251.92"/>
    <n v="77654.2"/>
    <n v="12155.000000000007"/>
  </r>
  <r>
    <x v="1"/>
    <x v="1"/>
    <x v="2"/>
    <x v="1"/>
    <x v="2"/>
    <x v="17"/>
    <n v="398"/>
    <n v="326.89999999999998"/>
    <n v="270.37"/>
    <n v="130106.2"/>
    <n v="22498.939999999988"/>
  </r>
  <r>
    <x v="1"/>
    <x v="2"/>
    <x v="0"/>
    <x v="0"/>
    <x v="2"/>
    <x v="18"/>
    <n v="185"/>
    <n v="242.24"/>
    <n v="213.93"/>
    <n v="44814.400000000001"/>
    <n v="5237.3500000000004"/>
  </r>
  <r>
    <x v="0"/>
    <x v="1"/>
    <x v="1"/>
    <x v="1"/>
    <x v="0"/>
    <x v="19"/>
    <n v="99"/>
    <n v="309.79000000000002"/>
    <n v="289.13"/>
    <n v="30669.21"/>
    <n v="2045.3400000000024"/>
  </r>
  <r>
    <x v="3"/>
    <x v="0"/>
    <x v="4"/>
    <x v="1"/>
    <x v="2"/>
    <x v="20"/>
    <n v="411"/>
    <n v="167.86"/>
    <n v="58.23"/>
    <n v="68990.460000000006"/>
    <n v="45057.930000000008"/>
  </r>
  <r>
    <x v="2"/>
    <x v="4"/>
    <x v="1"/>
    <x v="1"/>
    <x v="0"/>
    <x v="21"/>
    <n v="463"/>
    <n v="237.74"/>
    <n v="86.37"/>
    <n v="110073.62"/>
    <n v="70084.31"/>
  </r>
  <r>
    <x v="3"/>
    <x v="4"/>
    <x v="4"/>
    <x v="0"/>
    <x v="1"/>
    <x v="22"/>
    <n v="46"/>
    <n v="373.42"/>
    <n v="327.86"/>
    <n v="17177.32"/>
    <n v="2095.7600000000002"/>
  </r>
  <r>
    <x v="1"/>
    <x v="3"/>
    <x v="4"/>
    <x v="1"/>
    <x v="2"/>
    <x v="23"/>
    <n v="325"/>
    <n v="436.56"/>
    <n v="130.37"/>
    <n v="141882"/>
    <n v="99511.75"/>
  </r>
  <r>
    <x v="1"/>
    <x v="1"/>
    <x v="0"/>
    <x v="1"/>
    <x v="2"/>
    <x v="24"/>
    <n v="185"/>
    <n v="219.66"/>
    <n v="11.11"/>
    <n v="40637.1"/>
    <n v="38581.75"/>
  </r>
  <r>
    <x v="3"/>
    <x v="1"/>
    <x v="0"/>
    <x v="1"/>
    <x v="0"/>
    <x v="25"/>
    <n v="470"/>
    <n v="26.61"/>
    <n v="63.21"/>
    <n v="12506.7"/>
    <n v="-17202"/>
  </r>
  <r>
    <x v="3"/>
    <x v="3"/>
    <x v="3"/>
    <x v="0"/>
    <x v="2"/>
    <x v="26"/>
    <n v="293"/>
    <n v="85.03"/>
    <n v="91"/>
    <n v="24913.79"/>
    <n v="-1749.2099999999996"/>
  </r>
  <r>
    <x v="3"/>
    <x v="3"/>
    <x v="1"/>
    <x v="0"/>
    <x v="2"/>
    <x v="27"/>
    <n v="462"/>
    <n v="255.39500000000001"/>
    <n v="383.01"/>
    <n v="117992.49"/>
    <n v="-58958.12999999999"/>
  </r>
  <r>
    <x v="1"/>
    <x v="3"/>
    <x v="0"/>
    <x v="1"/>
    <x v="1"/>
    <x v="28"/>
    <n v="470"/>
    <n v="328.37"/>
    <n v="230.07"/>
    <n v="154333.9"/>
    <n v="46201.000000000007"/>
  </r>
  <r>
    <x v="1"/>
    <x v="0"/>
    <x v="0"/>
    <x v="0"/>
    <x v="2"/>
    <x v="29"/>
    <n v="90"/>
    <n v="169.5"/>
    <n v="373.23"/>
    <n v="15255"/>
    <n v="-18335.7"/>
  </r>
  <r>
    <x v="1"/>
    <x v="1"/>
    <x v="0"/>
    <x v="0"/>
    <x v="1"/>
    <x v="30"/>
    <n v="123"/>
    <n v="273.52999999999997"/>
    <n v="230.92"/>
    <n v="33644.19"/>
    <n v="5241.0299999999979"/>
  </r>
  <r>
    <x v="2"/>
    <x v="0"/>
    <x v="0"/>
    <x v="0"/>
    <x v="0"/>
    <x v="31"/>
    <n v="49"/>
    <n v="249.17"/>
    <n v="192.78"/>
    <n v="12209.33"/>
    <n v="2763.1099999999992"/>
  </r>
  <r>
    <x v="1"/>
    <x v="3"/>
    <x v="0"/>
    <x v="0"/>
    <x v="2"/>
    <x v="32"/>
    <n v="310"/>
    <n v="45.36"/>
    <n v="126.86"/>
    <n v="14061.6"/>
    <n v="-25265"/>
  </r>
  <r>
    <x v="3"/>
    <x v="1"/>
    <x v="2"/>
    <x v="0"/>
    <x v="1"/>
    <x v="33"/>
    <n v="233"/>
    <n v="204.61"/>
    <n v="243.34"/>
    <n v="47674.13"/>
    <n v="-9024.0899999999983"/>
  </r>
  <r>
    <x v="3"/>
    <x v="0"/>
    <x v="1"/>
    <x v="0"/>
    <x v="0"/>
    <x v="34"/>
    <n v="327"/>
    <n v="114.18"/>
    <n v="57.4"/>
    <n v="37336.86"/>
    <n v="18567.060000000001"/>
  </r>
  <r>
    <x v="2"/>
    <x v="0"/>
    <x v="0"/>
    <x v="0"/>
    <x v="2"/>
    <x v="35"/>
    <n v="358"/>
    <n v="212.11"/>
    <n v="359.51"/>
    <n v="75935.38"/>
    <n v="-52769.19999999999"/>
  </r>
  <r>
    <x v="1"/>
    <x v="3"/>
    <x v="1"/>
    <x v="0"/>
    <x v="0"/>
    <x v="36"/>
    <n v="124"/>
    <n v="255.39500000000001"/>
    <n v="332.07"/>
    <n v="31668.98"/>
    <n v="-9507.6999999999971"/>
  </r>
  <r>
    <x v="2"/>
    <x v="1"/>
    <x v="2"/>
    <x v="0"/>
    <x v="2"/>
    <x v="37"/>
    <n v="195"/>
    <n v="421.02"/>
    <n v="128.38"/>
    <n v="82098.899999999994"/>
    <n v="57064.799999999996"/>
  </r>
  <r>
    <x v="2"/>
    <x v="3"/>
    <x v="2"/>
    <x v="0"/>
    <x v="0"/>
    <x v="38"/>
    <n v="248.5"/>
    <n v="91.23"/>
    <n v="381.21"/>
    <n v="22670.654999999999"/>
    <n v="-72060.029999999984"/>
  </r>
  <r>
    <x v="0"/>
    <x v="1"/>
    <x v="1"/>
    <x v="1"/>
    <x v="0"/>
    <x v="39"/>
    <n v="65"/>
    <n v="480.59"/>
    <n v="330.43"/>
    <n v="31238.35"/>
    <n v="9760.3999999999978"/>
  </r>
  <r>
    <x v="0"/>
    <x v="4"/>
    <x v="4"/>
    <x v="1"/>
    <x v="1"/>
    <x v="40"/>
    <n v="49"/>
    <n v="210.87"/>
    <n v="267.19"/>
    <n v="10332.629999999999"/>
    <n v="-2759.68"/>
  </r>
  <r>
    <x v="0"/>
    <x v="2"/>
    <x v="3"/>
    <x v="0"/>
    <x v="0"/>
    <x v="41"/>
    <n v="363"/>
    <n v="423.89"/>
    <n v="50.46"/>
    <n v="153872.07"/>
    <n v="135555.09"/>
  </r>
  <r>
    <x v="3"/>
    <x v="2"/>
    <x v="4"/>
    <x v="1"/>
    <x v="2"/>
    <x v="42"/>
    <n v="49"/>
    <n v="316.24"/>
    <n v="192.34"/>
    <n v="15495.76"/>
    <n v="6071.1"/>
  </r>
  <r>
    <x v="1"/>
    <x v="2"/>
    <x v="4"/>
    <x v="1"/>
    <x v="2"/>
    <x v="43"/>
    <n v="356"/>
    <n v="369"/>
    <n v="203.43"/>
    <n v="131364"/>
    <n v="58942.92"/>
  </r>
  <r>
    <x v="1"/>
    <x v="3"/>
    <x v="4"/>
    <x v="0"/>
    <x v="1"/>
    <x v="44"/>
    <n v="470"/>
    <n v="255.39500000000001"/>
    <n v="94.56"/>
    <n v="120035.65"/>
    <n v="75592.45"/>
  </r>
  <r>
    <x v="1"/>
    <x v="4"/>
    <x v="0"/>
    <x v="0"/>
    <x v="2"/>
    <x v="45"/>
    <n v="246"/>
    <n v="254.9"/>
    <n v="33.83"/>
    <n v="62705.4"/>
    <n v="54383.22"/>
  </r>
  <r>
    <x v="1"/>
    <x v="1"/>
    <x v="2"/>
    <x v="0"/>
    <x v="2"/>
    <x v="46"/>
    <n v="298"/>
    <n v="273.93"/>
    <n v="311.14"/>
    <n v="81631.14"/>
    <n v="-11088.579999999994"/>
  </r>
  <r>
    <x v="0"/>
    <x v="0"/>
    <x v="4"/>
    <x v="1"/>
    <x v="2"/>
    <x v="47"/>
    <n v="271"/>
    <n v="259.43"/>
    <n v="50.57"/>
    <n v="70305.53"/>
    <n v="56601.060000000005"/>
  </r>
  <r>
    <x v="3"/>
    <x v="1"/>
    <x v="2"/>
    <x v="1"/>
    <x v="0"/>
    <x v="48"/>
    <n v="225"/>
    <n v="296.08999999999997"/>
    <n v="238.53"/>
    <n v="66620.25"/>
    <n v="12950.999999999995"/>
  </r>
  <r>
    <x v="1"/>
    <x v="0"/>
    <x v="1"/>
    <x v="0"/>
    <x v="0"/>
    <x v="49"/>
    <n v="156"/>
    <n v="19.55"/>
    <n v="374.71"/>
    <n v="3049.8"/>
    <n v="-55404.959999999992"/>
  </r>
  <r>
    <x v="0"/>
    <x v="1"/>
    <x v="3"/>
    <x v="0"/>
    <x v="2"/>
    <x v="50"/>
    <n v="345"/>
    <n v="200.78"/>
    <n v="350.69"/>
    <n v="69269.100000000006"/>
    <n v="-51718.95"/>
  </r>
  <r>
    <x v="3"/>
    <x v="4"/>
    <x v="1"/>
    <x v="0"/>
    <x v="1"/>
    <x v="51"/>
    <n v="177"/>
    <n v="305.06"/>
    <n v="112.55"/>
    <n v="53995.62"/>
    <n v="34074.269999999997"/>
  </r>
  <r>
    <x v="0"/>
    <x v="0"/>
    <x v="1"/>
    <x v="1"/>
    <x v="0"/>
    <x v="52"/>
    <n v="101"/>
    <n v="300.87"/>
    <n v="340.88"/>
    <n v="30387.87"/>
    <n v="-4041.0099999999993"/>
  </r>
  <r>
    <x v="1"/>
    <x v="3"/>
    <x v="0"/>
    <x v="1"/>
    <x v="1"/>
    <x v="53"/>
    <n v="362"/>
    <n v="397.51"/>
    <n v="2.13"/>
    <n v="143898.62"/>
    <n v="143127.56"/>
  </r>
  <r>
    <x v="0"/>
    <x v="1"/>
    <x v="3"/>
    <x v="1"/>
    <x v="2"/>
    <x v="54"/>
    <n v="68"/>
    <n v="329.23"/>
    <n v="9.0399999999999991"/>
    <n v="22387.64"/>
    <n v="21772.92"/>
  </r>
  <r>
    <x v="1"/>
    <x v="1"/>
    <x v="1"/>
    <x v="1"/>
    <x v="2"/>
    <x v="55"/>
    <n v="68"/>
    <n v="496.11"/>
    <n v="241.82"/>
    <n v="33735.480000000003"/>
    <n v="17291.72"/>
  </r>
  <r>
    <x v="1"/>
    <x v="0"/>
    <x v="1"/>
    <x v="0"/>
    <x v="0"/>
    <x v="56"/>
    <n v="313"/>
    <n v="145.51"/>
    <n v="147.19"/>
    <n v="45544.63"/>
    <n v="-525.84000000000219"/>
  </r>
  <r>
    <x v="2"/>
    <x v="3"/>
    <x v="3"/>
    <x v="0"/>
    <x v="2"/>
    <x v="57"/>
    <n v="178"/>
    <n v="182.78"/>
    <n v="155.81"/>
    <n v="32534.84"/>
    <n v="4800.66"/>
  </r>
  <r>
    <x v="0"/>
    <x v="3"/>
    <x v="3"/>
    <x v="0"/>
    <x v="0"/>
    <x v="58"/>
    <n v="278"/>
    <n v="195"/>
    <n v="226.65"/>
    <n v="54210"/>
    <n v="-8798.7000000000007"/>
  </r>
  <r>
    <x v="2"/>
    <x v="4"/>
    <x v="1"/>
    <x v="0"/>
    <x v="2"/>
    <x v="59"/>
    <n v="372"/>
    <n v="235.58"/>
    <n v="78.33"/>
    <n v="87635.760000000009"/>
    <n v="58497"/>
  </r>
  <r>
    <x v="0"/>
    <x v="3"/>
    <x v="3"/>
    <x v="1"/>
    <x v="2"/>
    <x v="60"/>
    <n v="54"/>
    <n v="418.82"/>
    <n v="86.28"/>
    <n v="22616.28"/>
    <n v="17957.159999999996"/>
  </r>
  <r>
    <x v="0"/>
    <x v="3"/>
    <x v="1"/>
    <x v="1"/>
    <x v="0"/>
    <x v="61"/>
    <n v="354"/>
    <n v="121.72"/>
    <n v="194.87"/>
    <n v="43088.88"/>
    <n v="-25895.100000000002"/>
  </r>
  <r>
    <x v="2"/>
    <x v="3"/>
    <x v="1"/>
    <x v="0"/>
    <x v="0"/>
    <x v="62"/>
    <n v="190"/>
    <n v="389.12"/>
    <n v="302.19"/>
    <n v="73932.800000000003"/>
    <n v="16516.7"/>
  </r>
  <r>
    <x v="1"/>
    <x v="2"/>
    <x v="0"/>
    <x v="0"/>
    <x v="0"/>
    <x v="63"/>
    <n v="179"/>
    <n v="205.63"/>
    <n v="248.56"/>
    <n v="36807.769999999997"/>
    <n v="-7684.4700000000012"/>
  </r>
  <r>
    <x v="0"/>
    <x v="4"/>
    <x v="4"/>
    <x v="1"/>
    <x v="2"/>
    <x v="64"/>
    <n v="365"/>
    <n v="302.92"/>
    <n v="120.35"/>
    <n v="110565.8"/>
    <n v="66638.05"/>
  </r>
  <r>
    <x v="3"/>
    <x v="1"/>
    <x v="1"/>
    <x v="0"/>
    <x v="2"/>
    <x v="65"/>
    <n v="200"/>
    <n v="318.11"/>
    <n v="173.27"/>
    <n v="63622"/>
    <n v="28968"/>
  </r>
  <r>
    <x v="1"/>
    <x v="0"/>
    <x v="2"/>
    <x v="1"/>
    <x v="1"/>
    <x v="66"/>
    <n v="164"/>
    <n v="189.56"/>
    <n v="69.92"/>
    <n v="31087.84"/>
    <n v="19620.96"/>
  </r>
  <r>
    <x v="2"/>
    <x v="1"/>
    <x v="4"/>
    <x v="0"/>
    <x v="0"/>
    <x v="67"/>
    <n v="431"/>
    <n v="258.74"/>
    <n v="31.7"/>
    <n v="111516.94"/>
    <n v="97854.24"/>
  </r>
  <r>
    <x v="1"/>
    <x v="4"/>
    <x v="4"/>
    <x v="0"/>
    <x v="2"/>
    <x v="68"/>
    <n v="197"/>
    <n v="209.45"/>
    <n v="313.51"/>
    <n v="41261.649999999987"/>
    <n v="-20499.82"/>
  </r>
  <r>
    <x v="3"/>
    <x v="0"/>
    <x v="4"/>
    <x v="0"/>
    <x v="2"/>
    <x v="69"/>
    <n v="16"/>
    <n v="39.22"/>
    <n v="107.62"/>
    <n v="627.52"/>
    <n v="-1094.4000000000001"/>
  </r>
  <r>
    <x v="3"/>
    <x v="4"/>
    <x v="0"/>
    <x v="0"/>
    <x v="0"/>
    <x v="70"/>
    <n v="142"/>
    <n v="221.4"/>
    <n v="72.75"/>
    <n v="31438.799999999999"/>
    <n v="21108.3"/>
  </r>
  <r>
    <x v="3"/>
    <x v="3"/>
    <x v="1"/>
    <x v="0"/>
    <x v="1"/>
    <x v="71"/>
    <n v="244"/>
    <n v="53.21"/>
    <n v="277.26"/>
    <n v="12983.24"/>
    <n v="-54668.2"/>
  </r>
  <r>
    <x v="2"/>
    <x v="0"/>
    <x v="0"/>
    <x v="0"/>
    <x v="0"/>
    <x v="72"/>
    <n v="54"/>
    <n v="205.49"/>
    <n v="247.98"/>
    <n v="11096.46"/>
    <n v="-2294.4599999999991"/>
  </r>
  <r>
    <x v="3"/>
    <x v="3"/>
    <x v="1"/>
    <x v="0"/>
    <x v="1"/>
    <x v="73"/>
    <n v="323"/>
    <n v="298.49"/>
    <n v="254.01"/>
    <n v="96412.27"/>
    <n v="14367.040000000006"/>
  </r>
  <r>
    <x v="2"/>
    <x v="1"/>
    <x v="0"/>
    <x v="1"/>
    <x v="2"/>
    <x v="74"/>
    <n v="258"/>
    <n v="291.81"/>
    <n v="93.1"/>
    <n v="75286.98"/>
    <n v="51267.18"/>
  </r>
  <r>
    <x v="3"/>
    <x v="1"/>
    <x v="0"/>
    <x v="1"/>
    <x v="1"/>
    <x v="75"/>
    <n v="40"/>
    <n v="333"/>
    <n v="94.59"/>
    <n v="13320"/>
    <n v="9536.4"/>
  </r>
  <r>
    <x v="1"/>
    <x v="0"/>
    <x v="2"/>
    <x v="1"/>
    <x v="2"/>
    <x v="76"/>
    <n v="32"/>
    <n v="52.15"/>
    <n v="89.88"/>
    <n v="1668.8"/>
    <n v="-1207.3599999999999"/>
  </r>
  <r>
    <x v="1"/>
    <x v="0"/>
    <x v="0"/>
    <x v="1"/>
    <x v="0"/>
    <x v="77"/>
    <n v="435"/>
    <n v="327.8"/>
    <n v="71.150000000000006"/>
    <n v="142593"/>
    <n v="111642.74999999999"/>
  </r>
  <r>
    <x v="0"/>
    <x v="4"/>
    <x v="3"/>
    <x v="1"/>
    <x v="0"/>
    <x v="78"/>
    <n v="403"/>
    <n v="159.51"/>
    <n v="262.98"/>
    <n v="64282.53"/>
    <n v="-41698.410000000011"/>
  </r>
  <r>
    <x v="1"/>
    <x v="4"/>
    <x v="2"/>
    <x v="0"/>
    <x v="0"/>
    <x v="79"/>
    <n v="169"/>
    <n v="255.39500000000001"/>
    <n v="339.51"/>
    <n v="43161.754999999997"/>
    <n v="-14215.434999999996"/>
  </r>
  <r>
    <x v="0"/>
    <x v="3"/>
    <x v="0"/>
    <x v="0"/>
    <x v="1"/>
    <x v="80"/>
    <n v="372"/>
    <n v="429.7"/>
    <n v="290.27999999999997"/>
    <n v="159848.4"/>
    <n v="51864.240000000005"/>
  </r>
  <r>
    <x v="1"/>
    <x v="0"/>
    <x v="4"/>
    <x v="1"/>
    <x v="2"/>
    <x v="81"/>
    <n v="446"/>
    <n v="9.4700000000000006"/>
    <n v="317.25"/>
    <n v="4223.62"/>
    <n v="-137269.87999999998"/>
  </r>
  <r>
    <x v="2"/>
    <x v="1"/>
    <x v="3"/>
    <x v="0"/>
    <x v="0"/>
    <x v="82"/>
    <n v="167"/>
    <n v="296.26"/>
    <n v="163.11000000000001"/>
    <n v="49475.42"/>
    <n v="22236.049999999996"/>
  </r>
  <r>
    <x v="1"/>
    <x v="4"/>
    <x v="3"/>
    <x v="1"/>
    <x v="0"/>
    <x v="83"/>
    <n v="48"/>
    <n v="301.36"/>
    <n v="262.32"/>
    <n v="14465.28"/>
    <n v="1873.920000000001"/>
  </r>
  <r>
    <x v="0"/>
    <x v="4"/>
    <x v="3"/>
    <x v="1"/>
    <x v="2"/>
    <x v="84"/>
    <n v="424"/>
    <n v="201.35"/>
    <n v="142.99"/>
    <n v="85372.4"/>
    <n v="24744.639999999992"/>
  </r>
  <r>
    <x v="0"/>
    <x v="1"/>
    <x v="2"/>
    <x v="0"/>
    <x v="0"/>
    <x v="85"/>
    <n v="91"/>
    <n v="122.33"/>
    <n v="211.15"/>
    <n v="11132.03"/>
    <n v="-8082.6200000000008"/>
  </r>
  <r>
    <x v="3"/>
    <x v="4"/>
    <x v="0"/>
    <x v="0"/>
    <x v="2"/>
    <x v="86"/>
    <n v="365"/>
    <n v="121.16"/>
    <n v="193.69"/>
    <n v="44223.4"/>
    <n v="-26473.45"/>
  </r>
  <r>
    <x v="2"/>
    <x v="3"/>
    <x v="0"/>
    <x v="0"/>
    <x v="2"/>
    <x v="87"/>
    <n v="267"/>
    <n v="442.44"/>
    <n v="72.400000000000006"/>
    <n v="118131.48"/>
    <n v="98800.68"/>
  </r>
  <r>
    <x v="1"/>
    <x v="0"/>
    <x v="4"/>
    <x v="1"/>
    <x v="2"/>
    <x v="88"/>
    <n v="215"/>
    <n v="223.8"/>
    <n v="156.06"/>
    <n v="48117"/>
    <n v="14564.100000000002"/>
  </r>
  <r>
    <x v="3"/>
    <x v="1"/>
    <x v="4"/>
    <x v="0"/>
    <x v="2"/>
    <x v="89"/>
    <n v="86"/>
    <n v="168.79"/>
    <n v="385.6"/>
    <n v="14515.94"/>
    <n v="-18645.660000000003"/>
  </r>
  <r>
    <x v="1"/>
    <x v="0"/>
    <x v="3"/>
    <x v="1"/>
    <x v="2"/>
    <x v="90"/>
    <n v="486"/>
    <n v="227.14"/>
    <n v="100.93"/>
    <n v="110390.04"/>
    <n v="61338.05999999999"/>
  </r>
  <r>
    <x v="1"/>
    <x v="4"/>
    <x v="4"/>
    <x v="1"/>
    <x v="1"/>
    <x v="91"/>
    <n v="21"/>
    <n v="255.39500000000001"/>
    <n v="55.25"/>
    <n v="5363.2950000000001"/>
    <n v="4203.0450000000001"/>
  </r>
  <r>
    <x v="3"/>
    <x v="4"/>
    <x v="2"/>
    <x v="1"/>
    <x v="0"/>
    <x v="92"/>
    <n v="304"/>
    <n v="77.150000000000006"/>
    <n v="168.6"/>
    <n v="23453.599999999999"/>
    <n v="-27800.799999999996"/>
  </r>
  <r>
    <x v="3"/>
    <x v="1"/>
    <x v="0"/>
    <x v="0"/>
    <x v="1"/>
    <x v="93"/>
    <n v="459"/>
    <n v="227.47"/>
    <n v="316.55"/>
    <n v="104408.73"/>
    <n v="-40887.720000000008"/>
  </r>
  <r>
    <x v="3"/>
    <x v="3"/>
    <x v="3"/>
    <x v="0"/>
    <x v="0"/>
    <x v="94"/>
    <n v="233"/>
    <n v="296"/>
    <n v="233.69"/>
    <n v="68968"/>
    <n v="14518.230000000001"/>
  </r>
  <r>
    <x v="3"/>
    <x v="2"/>
    <x v="4"/>
    <x v="1"/>
    <x v="1"/>
    <x v="95"/>
    <n v="22"/>
    <n v="474.55"/>
    <n v="273.02999999999997"/>
    <n v="10440.1"/>
    <n v="4433.4400000000005"/>
  </r>
  <r>
    <x v="3"/>
    <x v="1"/>
    <x v="2"/>
    <x v="0"/>
    <x v="2"/>
    <x v="96"/>
    <n v="55"/>
    <n v="130"/>
    <n v="77.5"/>
    <n v="7150"/>
    <n v="2887.5"/>
  </r>
  <r>
    <x v="1"/>
    <x v="2"/>
    <x v="2"/>
    <x v="0"/>
    <x v="0"/>
    <x v="97"/>
    <n v="164"/>
    <n v="182.83"/>
    <n v="248.34"/>
    <n v="29984.12"/>
    <n v="-10743.64"/>
  </r>
  <r>
    <x v="3"/>
    <x v="2"/>
    <x v="4"/>
    <x v="0"/>
    <x v="0"/>
    <x v="98"/>
    <n v="122"/>
    <n v="192.78"/>
    <n v="130.75"/>
    <n v="23519.16"/>
    <n v="7567.66"/>
  </r>
  <r>
    <x v="2"/>
    <x v="3"/>
    <x v="0"/>
    <x v="1"/>
    <x v="1"/>
    <x v="99"/>
    <n v="242"/>
    <n v="304.74"/>
    <n v="334.05"/>
    <n v="73747.08"/>
    <n v="-7093.02"/>
  </r>
  <r>
    <x v="0"/>
    <x v="2"/>
    <x v="4"/>
    <x v="1"/>
    <x v="1"/>
    <x v="100"/>
    <n v="26"/>
    <n v="181.58"/>
    <n v="252.46"/>
    <n v="4721.08"/>
    <n v="-1842.8799999999999"/>
  </r>
  <r>
    <x v="3"/>
    <x v="2"/>
    <x v="3"/>
    <x v="0"/>
    <x v="0"/>
    <x v="101"/>
    <n v="369"/>
    <n v="269.08999999999997"/>
    <n v="81.14"/>
    <n v="99294.209999999992"/>
    <n v="69353.55"/>
  </r>
  <r>
    <x v="3"/>
    <x v="3"/>
    <x v="4"/>
    <x v="1"/>
    <x v="1"/>
    <x v="102"/>
    <n v="232"/>
    <n v="391.99"/>
    <n v="27.72"/>
    <n v="90941.680000000008"/>
    <n v="84510.64"/>
  </r>
  <r>
    <x v="1"/>
    <x v="2"/>
    <x v="2"/>
    <x v="0"/>
    <x v="1"/>
    <x v="103"/>
    <n v="363"/>
    <n v="354.17"/>
    <n v="18.97"/>
    <n v="128563.71"/>
    <n v="121677.60000000002"/>
  </r>
  <r>
    <x v="3"/>
    <x v="2"/>
    <x v="4"/>
    <x v="0"/>
    <x v="1"/>
    <x v="104"/>
    <n v="197"/>
    <n v="225.95"/>
    <n v="149.82"/>
    <n v="44512.149999999987"/>
    <n v="14997.609999999999"/>
  </r>
  <r>
    <x v="3"/>
    <x v="2"/>
    <x v="0"/>
    <x v="0"/>
    <x v="2"/>
    <x v="105"/>
    <n v="457"/>
    <n v="432.79"/>
    <n v="107.81"/>
    <n v="197785.03"/>
    <n v="148515.86000000002"/>
  </r>
  <r>
    <x v="3"/>
    <x v="1"/>
    <x v="1"/>
    <x v="0"/>
    <x v="2"/>
    <x v="106"/>
    <n v="353"/>
    <n v="281.27999999999997"/>
    <n v="259.14"/>
    <n v="99291.839999999997"/>
    <n v="7815.4199999999955"/>
  </r>
  <r>
    <x v="1"/>
    <x v="1"/>
    <x v="4"/>
    <x v="1"/>
    <x v="1"/>
    <x v="107"/>
    <n v="374"/>
    <n v="272.25"/>
    <n v="200.73"/>
    <n v="101821.5"/>
    <n v="26748.480000000003"/>
  </r>
  <r>
    <x v="3"/>
    <x v="1"/>
    <x v="0"/>
    <x v="1"/>
    <x v="1"/>
    <x v="108"/>
    <n v="172"/>
    <n v="21.92"/>
    <n v="107.88"/>
    <n v="3770.24"/>
    <n v="-14785.119999999999"/>
  </r>
  <r>
    <x v="0"/>
    <x v="3"/>
    <x v="0"/>
    <x v="1"/>
    <x v="2"/>
    <x v="109"/>
    <n v="335"/>
    <n v="493.41"/>
    <n v="61.4"/>
    <n v="165292.35"/>
    <n v="144723.35"/>
  </r>
  <r>
    <x v="1"/>
    <x v="4"/>
    <x v="2"/>
    <x v="0"/>
    <x v="2"/>
    <x v="110"/>
    <n v="476"/>
    <n v="65.87"/>
    <n v="52.63"/>
    <n v="31354.12"/>
    <n v="6302.2400000000007"/>
  </r>
  <r>
    <x v="0"/>
    <x v="2"/>
    <x v="0"/>
    <x v="0"/>
    <x v="0"/>
    <x v="111"/>
    <n v="423"/>
    <n v="119.41"/>
    <n v="346.13"/>
    <n v="50510.43"/>
    <n v="-95902.56"/>
  </r>
  <r>
    <x v="1"/>
    <x v="2"/>
    <x v="0"/>
    <x v="0"/>
    <x v="0"/>
    <x v="112"/>
    <n v="464"/>
    <n v="30.59"/>
    <n v="98.9"/>
    <n v="14193.76"/>
    <n v="-31695.84"/>
  </r>
  <r>
    <x v="3"/>
    <x v="3"/>
    <x v="0"/>
    <x v="1"/>
    <x v="2"/>
    <x v="113"/>
    <n v="83"/>
    <n v="321.8"/>
    <n v="261.38"/>
    <n v="26709.4"/>
    <n v="5014.8600000000015"/>
  </r>
  <r>
    <x v="0"/>
    <x v="2"/>
    <x v="0"/>
    <x v="0"/>
    <x v="1"/>
    <x v="114"/>
    <n v="242"/>
    <n v="116.23"/>
    <n v="324.64999999999998"/>
    <n v="28127.66"/>
    <n v="-50437.639999999992"/>
  </r>
  <r>
    <x v="1"/>
    <x v="1"/>
    <x v="3"/>
    <x v="1"/>
    <x v="1"/>
    <x v="115"/>
    <n v="233"/>
    <n v="94.11"/>
    <n v="246.4"/>
    <n v="21927.63"/>
    <n v="-35483.570000000007"/>
  </r>
  <r>
    <x v="2"/>
    <x v="4"/>
    <x v="3"/>
    <x v="1"/>
    <x v="1"/>
    <x v="116"/>
    <n v="491"/>
    <n v="48.84"/>
    <n v="344.11"/>
    <n v="23980.44"/>
    <n v="-144977.56999999998"/>
  </r>
  <r>
    <x v="1"/>
    <x v="0"/>
    <x v="2"/>
    <x v="1"/>
    <x v="1"/>
    <x v="117"/>
    <n v="328"/>
    <n v="56.14"/>
    <n v="158.16999999999999"/>
    <n v="18413.919999999998"/>
    <n v="-33465.839999999997"/>
  </r>
  <r>
    <x v="1"/>
    <x v="2"/>
    <x v="4"/>
    <x v="1"/>
    <x v="0"/>
    <x v="118"/>
    <n v="421"/>
    <n v="294.41000000000003"/>
    <n v="382.58"/>
    <n v="123946.61"/>
    <n v="-37119.569999999985"/>
  </r>
  <r>
    <x v="2"/>
    <x v="1"/>
    <x v="0"/>
    <x v="1"/>
    <x v="2"/>
    <x v="119"/>
    <n v="69"/>
    <n v="345.66"/>
    <n v="54.99"/>
    <n v="23850.54"/>
    <n v="20056.23"/>
  </r>
  <r>
    <x v="1"/>
    <x v="0"/>
    <x v="4"/>
    <x v="1"/>
    <x v="1"/>
    <x v="120"/>
    <n v="344"/>
    <n v="201.7"/>
    <n v="42.66"/>
    <n v="69384.800000000003"/>
    <n v="54709.759999999995"/>
  </r>
  <r>
    <x v="1"/>
    <x v="4"/>
    <x v="4"/>
    <x v="0"/>
    <x v="0"/>
    <x v="121"/>
    <n v="231"/>
    <n v="242.55"/>
    <n v="264.16000000000003"/>
    <n v="56029.05"/>
    <n v="-4991.9100000000035"/>
  </r>
  <r>
    <x v="3"/>
    <x v="0"/>
    <x v="2"/>
    <x v="0"/>
    <x v="1"/>
    <x v="122"/>
    <n v="46"/>
    <n v="344.55"/>
    <n v="377.25"/>
    <n v="15849.3"/>
    <n v="-1504.1999999999994"/>
  </r>
  <r>
    <x v="0"/>
    <x v="1"/>
    <x v="0"/>
    <x v="1"/>
    <x v="2"/>
    <x v="123"/>
    <n v="486"/>
    <n v="13.6"/>
    <n v="323.94"/>
    <n v="6609.5999999999995"/>
    <n v="-150825.24"/>
  </r>
  <r>
    <x v="2"/>
    <x v="0"/>
    <x v="0"/>
    <x v="1"/>
    <x v="0"/>
    <x v="124"/>
    <n v="287"/>
    <n v="164.95"/>
    <n v="32.409999999999997"/>
    <n v="47340.649999999987"/>
    <n v="38038.979999999996"/>
  </r>
  <r>
    <x v="1"/>
    <x v="3"/>
    <x v="1"/>
    <x v="0"/>
    <x v="2"/>
    <x v="125"/>
    <n v="205"/>
    <n v="486.68"/>
    <n v="113.19"/>
    <n v="99769.4"/>
    <n v="76565.45"/>
  </r>
  <r>
    <x v="3"/>
    <x v="0"/>
    <x v="4"/>
    <x v="1"/>
    <x v="2"/>
    <x v="126"/>
    <n v="413"/>
    <n v="292.16000000000003"/>
    <n v="372.27"/>
    <n v="120662.08"/>
    <n v="-33085.429999999986"/>
  </r>
  <r>
    <x v="2"/>
    <x v="2"/>
    <x v="4"/>
    <x v="1"/>
    <x v="0"/>
    <x v="127"/>
    <n v="361"/>
    <n v="130.84"/>
    <n v="102.72"/>
    <n v="47233.24"/>
    <n v="10151.320000000002"/>
  </r>
  <r>
    <x v="1"/>
    <x v="2"/>
    <x v="3"/>
    <x v="0"/>
    <x v="0"/>
    <x v="128"/>
    <n v="493"/>
    <n v="263.26"/>
    <n v="312.91000000000003"/>
    <n v="129787.18"/>
    <n v="-24477.450000000015"/>
  </r>
  <r>
    <x v="1"/>
    <x v="3"/>
    <x v="1"/>
    <x v="1"/>
    <x v="0"/>
    <x v="129"/>
    <n v="251"/>
    <n v="174.61"/>
    <n v="330.4"/>
    <n v="43827.11"/>
    <n v="-39103.289999999994"/>
  </r>
  <r>
    <x v="1"/>
    <x v="1"/>
    <x v="3"/>
    <x v="1"/>
    <x v="0"/>
    <x v="130"/>
    <n v="248.5"/>
    <n v="268.45999999999998"/>
    <n v="199.19"/>
    <n v="66712.31"/>
    <n v="17213.594999999994"/>
  </r>
  <r>
    <x v="2"/>
    <x v="2"/>
    <x v="3"/>
    <x v="1"/>
    <x v="0"/>
    <x v="131"/>
    <n v="228"/>
    <n v="67.239999999999995"/>
    <n v="155.77000000000001"/>
    <n v="15330.72"/>
    <n v="-20184.840000000004"/>
  </r>
  <r>
    <x v="2"/>
    <x v="4"/>
    <x v="3"/>
    <x v="0"/>
    <x v="0"/>
    <x v="132"/>
    <n v="201"/>
    <n v="70.69"/>
    <n v="181.15"/>
    <n v="14208.69"/>
    <n v="-22202.460000000003"/>
  </r>
  <r>
    <x v="2"/>
    <x v="2"/>
    <x v="2"/>
    <x v="0"/>
    <x v="0"/>
    <x v="133"/>
    <n v="26"/>
    <n v="76.05"/>
    <n v="92.33"/>
    <n v="1977.3"/>
    <n v="-423.28000000000003"/>
  </r>
  <r>
    <x v="0"/>
    <x v="2"/>
    <x v="2"/>
    <x v="0"/>
    <x v="1"/>
    <x v="134"/>
    <n v="21"/>
    <n v="470.21"/>
    <n v="355.98"/>
    <n v="9874.41"/>
    <n v="2398.829999999999"/>
  </r>
  <r>
    <x v="2"/>
    <x v="1"/>
    <x v="3"/>
    <x v="1"/>
    <x v="2"/>
    <x v="135"/>
    <n v="415"/>
    <n v="367.78"/>
    <n v="181.35"/>
    <n v="152628.70000000001"/>
    <n v="77368.45"/>
  </r>
  <r>
    <x v="2"/>
    <x v="0"/>
    <x v="1"/>
    <x v="1"/>
    <x v="0"/>
    <x v="136"/>
    <n v="410"/>
    <n v="85.38"/>
    <n v="353.22"/>
    <n v="35005.800000000003"/>
    <n v="-109814.40000000001"/>
  </r>
  <r>
    <x v="2"/>
    <x v="2"/>
    <x v="4"/>
    <x v="0"/>
    <x v="1"/>
    <x v="137"/>
    <n v="403"/>
    <n v="98.23"/>
    <n v="44.07"/>
    <n v="39586.69"/>
    <n v="21826.480000000003"/>
  </r>
  <r>
    <x v="0"/>
    <x v="3"/>
    <x v="1"/>
    <x v="1"/>
    <x v="1"/>
    <x v="138"/>
    <n v="383"/>
    <n v="366.76"/>
    <n v="395.33"/>
    <n v="140469.07999999999"/>
    <n v="-10942.309999999998"/>
  </r>
  <r>
    <x v="2"/>
    <x v="0"/>
    <x v="0"/>
    <x v="1"/>
    <x v="1"/>
    <x v="139"/>
    <n v="202"/>
    <n v="82.3"/>
    <n v="178.42"/>
    <n v="16624.599999999999"/>
    <n v="-19416.239999999998"/>
  </r>
  <r>
    <x v="1"/>
    <x v="4"/>
    <x v="2"/>
    <x v="1"/>
    <x v="2"/>
    <x v="140"/>
    <n v="31"/>
    <n v="121.11"/>
    <n v="21.04"/>
    <n v="3754.41"/>
    <n v="3102.1699999999996"/>
  </r>
  <r>
    <x v="2"/>
    <x v="1"/>
    <x v="4"/>
    <x v="1"/>
    <x v="0"/>
    <x v="141"/>
    <n v="483"/>
    <n v="481.86"/>
    <n v="17.13"/>
    <n v="232738.38"/>
    <n v="224464.59"/>
  </r>
  <r>
    <x v="1"/>
    <x v="4"/>
    <x v="4"/>
    <x v="1"/>
    <x v="1"/>
    <x v="142"/>
    <n v="129"/>
    <n v="131.38"/>
    <n v="298.99"/>
    <n v="16948.02"/>
    <n v="-21621.690000000002"/>
  </r>
  <r>
    <x v="1"/>
    <x v="0"/>
    <x v="0"/>
    <x v="0"/>
    <x v="2"/>
    <x v="143"/>
    <n v="219"/>
    <n v="332.51"/>
    <n v="264.3"/>
    <n v="72819.69"/>
    <n v="14937.989999999996"/>
  </r>
  <r>
    <x v="1"/>
    <x v="0"/>
    <x v="0"/>
    <x v="1"/>
    <x v="2"/>
    <x v="144"/>
    <n v="315"/>
    <n v="489.42"/>
    <n v="321.25"/>
    <n v="154167.29999999999"/>
    <n v="52973.55"/>
  </r>
  <r>
    <x v="0"/>
    <x v="0"/>
    <x v="3"/>
    <x v="0"/>
    <x v="2"/>
    <x v="145"/>
    <n v="279"/>
    <n v="190.28"/>
    <n v="43.94"/>
    <n v="53088.12"/>
    <n v="40828.86"/>
  </r>
  <r>
    <x v="0"/>
    <x v="4"/>
    <x v="2"/>
    <x v="1"/>
    <x v="1"/>
    <x v="146"/>
    <n v="201"/>
    <n v="13.67"/>
    <n v="16.16"/>
    <n v="2747.67"/>
    <n v="-500.49000000000007"/>
  </r>
  <r>
    <x v="0"/>
    <x v="0"/>
    <x v="2"/>
    <x v="0"/>
    <x v="0"/>
    <x v="147"/>
    <n v="184"/>
    <n v="125.85"/>
    <n v="204.41"/>
    <n v="23156.400000000001"/>
    <n v="-14455.04"/>
  </r>
  <r>
    <x v="2"/>
    <x v="4"/>
    <x v="1"/>
    <x v="1"/>
    <x v="1"/>
    <x v="148"/>
    <n v="294"/>
    <n v="416.28"/>
    <n v="156.26"/>
    <n v="122386.32"/>
    <n v="76445.87999999999"/>
  </r>
  <r>
    <x v="1"/>
    <x v="0"/>
    <x v="3"/>
    <x v="0"/>
    <x v="1"/>
    <x v="149"/>
    <n v="213"/>
    <n v="432.98"/>
    <n v="185.85"/>
    <n v="92224.74"/>
    <n v="52638.69"/>
  </r>
  <r>
    <x v="0"/>
    <x v="3"/>
    <x v="3"/>
    <x v="1"/>
    <x v="0"/>
    <x v="150"/>
    <n v="173"/>
    <n v="385.42"/>
    <n v="396.65"/>
    <n v="66677.66"/>
    <n v="-1942.7899999999934"/>
  </r>
  <r>
    <x v="0"/>
    <x v="0"/>
    <x v="3"/>
    <x v="0"/>
    <x v="0"/>
    <x v="151"/>
    <n v="260"/>
    <n v="60.99"/>
    <n v="388.36"/>
    <n v="15857.4"/>
    <n v="-85116.2"/>
  </r>
  <r>
    <x v="2"/>
    <x v="4"/>
    <x v="3"/>
    <x v="1"/>
    <x v="0"/>
    <x v="152"/>
    <n v="236"/>
    <n v="398.78"/>
    <n v="377.04"/>
    <n v="94112.079999999987"/>
    <n v="5130.6399999999885"/>
  </r>
  <r>
    <x v="0"/>
    <x v="2"/>
    <x v="2"/>
    <x v="0"/>
    <x v="2"/>
    <x v="153"/>
    <n v="445"/>
    <n v="459.75"/>
    <n v="313.97000000000003"/>
    <n v="204588.75"/>
    <n v="64872.099999999991"/>
  </r>
  <r>
    <x v="2"/>
    <x v="0"/>
    <x v="2"/>
    <x v="1"/>
    <x v="0"/>
    <x v="154"/>
    <n v="390"/>
    <n v="302.3"/>
    <n v="143.22999999999999"/>
    <n v="117897"/>
    <n v="62037.30000000001"/>
  </r>
  <r>
    <x v="3"/>
    <x v="2"/>
    <x v="3"/>
    <x v="0"/>
    <x v="1"/>
    <x v="155"/>
    <n v="469"/>
    <n v="470.73"/>
    <n v="166.03"/>
    <n v="220772.37"/>
    <n v="142904.30000000002"/>
  </r>
  <r>
    <x v="0"/>
    <x v="3"/>
    <x v="1"/>
    <x v="0"/>
    <x v="0"/>
    <x v="156"/>
    <n v="16"/>
    <n v="255.39500000000001"/>
    <n v="220.75"/>
    <n v="4086.32"/>
    <n v="554.32000000000016"/>
  </r>
  <r>
    <x v="3"/>
    <x v="1"/>
    <x v="4"/>
    <x v="1"/>
    <x v="1"/>
    <x v="157"/>
    <n v="38"/>
    <n v="335.15"/>
    <n v="332.55"/>
    <n v="12735.7"/>
    <n v="98.799999999998704"/>
  </r>
  <r>
    <x v="2"/>
    <x v="3"/>
    <x v="0"/>
    <x v="1"/>
    <x v="2"/>
    <x v="158"/>
    <n v="404"/>
    <n v="290.70999999999998"/>
    <n v="29.35"/>
    <n v="117446.84"/>
    <n v="105589.43999999999"/>
  </r>
  <r>
    <x v="1"/>
    <x v="0"/>
    <x v="1"/>
    <x v="0"/>
    <x v="1"/>
    <x v="159"/>
    <n v="42"/>
    <n v="177.54"/>
    <n v="170.87"/>
    <n v="7456.6799999999994"/>
    <n v="280.13999999999947"/>
  </r>
  <r>
    <x v="0"/>
    <x v="2"/>
    <x v="3"/>
    <x v="1"/>
    <x v="1"/>
    <x v="160"/>
    <n v="143"/>
    <n v="83.85"/>
    <n v="34.880000000000003"/>
    <n v="11990.55"/>
    <n v="7002.7099999999991"/>
  </r>
  <r>
    <x v="2"/>
    <x v="2"/>
    <x v="2"/>
    <x v="0"/>
    <x v="0"/>
    <x v="161"/>
    <n v="376"/>
    <n v="304.45"/>
    <n v="206.83"/>
    <n v="114473.2"/>
    <n v="36705.119999999988"/>
  </r>
  <r>
    <x v="1"/>
    <x v="4"/>
    <x v="4"/>
    <x v="0"/>
    <x v="0"/>
    <x v="162"/>
    <n v="88"/>
    <n v="162.47"/>
    <n v="359.76"/>
    <n v="14297.36"/>
    <n v="-17361.52"/>
  </r>
  <r>
    <x v="1"/>
    <x v="2"/>
    <x v="0"/>
    <x v="0"/>
    <x v="1"/>
    <x v="163"/>
    <n v="425"/>
    <n v="433.89"/>
    <n v="313.43"/>
    <n v="184403.25"/>
    <n v="51195.499999999993"/>
  </r>
  <r>
    <x v="3"/>
    <x v="4"/>
    <x v="0"/>
    <x v="1"/>
    <x v="0"/>
    <x v="164"/>
    <n v="444"/>
    <n v="496.7"/>
    <n v="92.68"/>
    <n v="220534.8"/>
    <n v="179384.88"/>
  </r>
  <r>
    <x v="2"/>
    <x v="1"/>
    <x v="1"/>
    <x v="0"/>
    <x v="2"/>
    <x v="165"/>
    <n v="468"/>
    <n v="377.45"/>
    <n v="390.44"/>
    <n v="176646.6"/>
    <n v="-6079.3200000000043"/>
  </r>
  <r>
    <x v="1"/>
    <x v="0"/>
    <x v="3"/>
    <x v="0"/>
    <x v="2"/>
    <x v="166"/>
    <n v="67"/>
    <n v="49.79"/>
    <n v="267.61"/>
    <n v="3335.93"/>
    <n v="-14593.940000000002"/>
  </r>
  <r>
    <x v="0"/>
    <x v="4"/>
    <x v="4"/>
    <x v="1"/>
    <x v="0"/>
    <x v="167"/>
    <n v="480"/>
    <n v="147.9"/>
    <n v="6.15"/>
    <n v="70992"/>
    <n v="68040"/>
  </r>
  <r>
    <x v="0"/>
    <x v="1"/>
    <x v="3"/>
    <x v="1"/>
    <x v="2"/>
    <x v="168"/>
    <n v="35"/>
    <n v="59.01"/>
    <n v="103.65"/>
    <n v="2065.35"/>
    <n v="-1562.4000000000003"/>
  </r>
  <r>
    <x v="3"/>
    <x v="2"/>
    <x v="4"/>
    <x v="1"/>
    <x v="0"/>
    <x v="169"/>
    <n v="491"/>
    <n v="327"/>
    <n v="105.76"/>
    <n v="160557"/>
    <n v="108628.84000000001"/>
  </r>
  <r>
    <x v="1"/>
    <x v="2"/>
    <x v="1"/>
    <x v="1"/>
    <x v="1"/>
    <x v="170"/>
    <n v="439"/>
    <n v="383.77"/>
    <n v="29.56"/>
    <n v="168475.03"/>
    <n v="155498.19"/>
  </r>
  <r>
    <x v="2"/>
    <x v="1"/>
    <x v="1"/>
    <x v="0"/>
    <x v="1"/>
    <x v="171"/>
    <n v="235"/>
    <n v="463.21"/>
    <n v="384.01"/>
    <n v="108854.35"/>
    <n v="18611.999999999996"/>
  </r>
  <r>
    <x v="0"/>
    <x v="2"/>
    <x v="0"/>
    <x v="0"/>
    <x v="2"/>
    <x v="172"/>
    <n v="294"/>
    <n v="221.9"/>
    <n v="192.35"/>
    <n v="65238.6"/>
    <n v="8687.7000000000025"/>
  </r>
  <r>
    <x v="1"/>
    <x v="1"/>
    <x v="3"/>
    <x v="0"/>
    <x v="0"/>
    <x v="173"/>
    <n v="13"/>
    <n v="451.18"/>
    <n v="358.53"/>
    <n v="5865.34"/>
    <n v="1204.4500000000005"/>
  </r>
  <r>
    <x v="1"/>
    <x v="4"/>
    <x v="0"/>
    <x v="0"/>
    <x v="0"/>
    <x v="174"/>
    <n v="474"/>
    <n v="439.56"/>
    <n v="130.24"/>
    <n v="208351.44"/>
    <n v="146617.68"/>
  </r>
  <r>
    <x v="3"/>
    <x v="4"/>
    <x v="3"/>
    <x v="1"/>
    <x v="2"/>
    <x v="175"/>
    <n v="108"/>
    <n v="162.01"/>
    <n v="51.84"/>
    <n v="17497.080000000002"/>
    <n v="11898.359999999999"/>
  </r>
  <r>
    <x v="0"/>
    <x v="1"/>
    <x v="0"/>
    <x v="0"/>
    <x v="1"/>
    <x v="176"/>
    <n v="406"/>
    <n v="435.11"/>
    <n v="190.79"/>
    <n v="176654.66"/>
    <n v="99193.920000000013"/>
  </r>
  <r>
    <x v="0"/>
    <x v="4"/>
    <x v="2"/>
    <x v="0"/>
    <x v="2"/>
    <x v="177"/>
    <n v="498"/>
    <n v="190.96"/>
    <n v="47.35"/>
    <n v="95098.08"/>
    <n v="71517.780000000013"/>
  </r>
  <r>
    <x v="2"/>
    <x v="4"/>
    <x v="2"/>
    <x v="1"/>
    <x v="1"/>
    <x v="178"/>
    <n v="48"/>
    <n v="151.94999999999999"/>
    <n v="195.43"/>
    <n v="7293.5999999999995"/>
    <n v="-2087.0400000000009"/>
  </r>
  <r>
    <x v="0"/>
    <x v="4"/>
    <x v="2"/>
    <x v="0"/>
    <x v="0"/>
    <x v="179"/>
    <n v="280"/>
    <n v="326.29000000000002"/>
    <n v="368.28"/>
    <n v="91361.200000000012"/>
    <n v="-11757.199999999986"/>
  </r>
  <r>
    <x v="2"/>
    <x v="3"/>
    <x v="2"/>
    <x v="0"/>
    <x v="1"/>
    <x v="180"/>
    <n v="384"/>
    <n v="167.55"/>
    <n v="209.27"/>
    <n v="64339.199999999997"/>
    <n v="-16020.48"/>
  </r>
  <r>
    <x v="0"/>
    <x v="0"/>
    <x v="4"/>
    <x v="0"/>
    <x v="2"/>
    <x v="181"/>
    <n v="294"/>
    <n v="316.95"/>
    <n v="247.37"/>
    <n v="93183.3"/>
    <n v="20456.519999999997"/>
  </r>
  <r>
    <x v="3"/>
    <x v="2"/>
    <x v="2"/>
    <x v="0"/>
    <x v="0"/>
    <x v="182"/>
    <n v="166"/>
    <n v="306.87"/>
    <n v="64.34"/>
    <n v="50940.42"/>
    <n v="40259.980000000003"/>
  </r>
  <r>
    <x v="0"/>
    <x v="3"/>
    <x v="1"/>
    <x v="0"/>
    <x v="2"/>
    <x v="183"/>
    <n v="84"/>
    <n v="283.89999999999998"/>
    <n v="19.41"/>
    <n v="23847.599999999999"/>
    <n v="22217.159999999996"/>
  </r>
  <r>
    <x v="2"/>
    <x v="4"/>
    <x v="1"/>
    <x v="0"/>
    <x v="2"/>
    <x v="184"/>
    <n v="381"/>
    <n v="193.31"/>
    <n v="46.1"/>
    <n v="73651.11"/>
    <n v="56087.01"/>
  </r>
  <r>
    <x v="2"/>
    <x v="1"/>
    <x v="4"/>
    <x v="1"/>
    <x v="1"/>
    <x v="185"/>
    <n v="297"/>
    <n v="276.51"/>
    <n v="240.22"/>
    <n v="82123.47"/>
    <n v="10778.129999999997"/>
  </r>
  <r>
    <x v="3"/>
    <x v="4"/>
    <x v="2"/>
    <x v="1"/>
    <x v="2"/>
    <x v="186"/>
    <n v="139"/>
    <n v="300.26"/>
    <n v="39.81"/>
    <n v="41736.14"/>
    <n v="36202.549999999996"/>
  </r>
  <r>
    <x v="0"/>
    <x v="0"/>
    <x v="2"/>
    <x v="0"/>
    <x v="1"/>
    <x v="187"/>
    <n v="184"/>
    <n v="275.12"/>
    <n v="151.65"/>
    <n v="50622.080000000002"/>
    <n v="22718.48"/>
  </r>
  <r>
    <x v="0"/>
    <x v="4"/>
    <x v="2"/>
    <x v="0"/>
    <x v="0"/>
    <x v="188"/>
    <n v="471"/>
    <n v="224.99"/>
    <n v="220.94"/>
    <n v="105970.29"/>
    <n v="1907.5500000000054"/>
  </r>
  <r>
    <x v="3"/>
    <x v="1"/>
    <x v="0"/>
    <x v="1"/>
    <x v="1"/>
    <x v="189"/>
    <n v="93"/>
    <n v="12.26"/>
    <n v="156.68"/>
    <n v="1140.18"/>
    <n v="-13431.060000000001"/>
  </r>
  <r>
    <x v="0"/>
    <x v="0"/>
    <x v="3"/>
    <x v="0"/>
    <x v="0"/>
    <x v="190"/>
    <n v="31"/>
    <n v="295.60000000000002"/>
    <n v="67.150000000000006"/>
    <n v="9163.6"/>
    <n v="7081.9500000000007"/>
  </r>
  <r>
    <x v="0"/>
    <x v="4"/>
    <x v="0"/>
    <x v="0"/>
    <x v="1"/>
    <x v="191"/>
    <n v="468"/>
    <n v="88.38"/>
    <n v="110.97"/>
    <n v="41361.839999999997"/>
    <n v="-10572.12"/>
  </r>
  <r>
    <x v="2"/>
    <x v="0"/>
    <x v="3"/>
    <x v="0"/>
    <x v="2"/>
    <x v="192"/>
    <n v="36"/>
    <n v="323.08"/>
    <n v="371.47"/>
    <n v="11630.88"/>
    <n v="-1742.0400000000016"/>
  </r>
  <r>
    <x v="0"/>
    <x v="2"/>
    <x v="2"/>
    <x v="1"/>
    <x v="1"/>
    <x v="193"/>
    <n v="204"/>
    <n v="380.88"/>
    <n v="271.04000000000002"/>
    <n v="77699.520000000004"/>
    <n v="22407.359999999993"/>
  </r>
  <r>
    <x v="0"/>
    <x v="2"/>
    <x v="2"/>
    <x v="0"/>
    <x v="1"/>
    <x v="194"/>
    <n v="346"/>
    <n v="252.72"/>
    <n v="199.43"/>
    <n v="87441.12"/>
    <n v="18438.339999999997"/>
  </r>
  <r>
    <x v="3"/>
    <x v="4"/>
    <x v="0"/>
    <x v="1"/>
    <x v="0"/>
    <x v="195"/>
    <n v="391"/>
    <n v="273.47000000000003"/>
    <n v="7.06"/>
    <n v="106926.77"/>
    <n v="104166.31000000001"/>
  </r>
  <r>
    <x v="3"/>
    <x v="0"/>
    <x v="0"/>
    <x v="0"/>
    <x v="2"/>
    <x v="196"/>
    <n v="245"/>
    <n v="475.98"/>
    <n v="396.98"/>
    <n v="116615.1"/>
    <n v="19355"/>
  </r>
  <r>
    <x v="1"/>
    <x v="1"/>
    <x v="3"/>
    <x v="1"/>
    <x v="1"/>
    <x v="197"/>
    <n v="449"/>
    <n v="424.35"/>
    <n v="269.24"/>
    <n v="190533.15"/>
    <n v="69644.39"/>
  </r>
  <r>
    <x v="2"/>
    <x v="4"/>
    <x v="1"/>
    <x v="1"/>
    <x v="2"/>
    <x v="198"/>
    <n v="101"/>
    <n v="457.55"/>
    <n v="128.13999999999999"/>
    <n v="46212.55"/>
    <n v="33270.410000000003"/>
  </r>
  <r>
    <x v="0"/>
    <x v="2"/>
    <x v="3"/>
    <x v="0"/>
    <x v="1"/>
    <x v="199"/>
    <n v="248.5"/>
    <n v="407.81"/>
    <n v="351.95"/>
    <n v="101340.785"/>
    <n v="13881.210000000003"/>
  </r>
  <r>
    <x v="0"/>
    <x v="2"/>
    <x v="0"/>
    <x v="1"/>
    <x v="1"/>
    <x v="200"/>
    <n v="30"/>
    <n v="58.91"/>
    <n v="104.86"/>
    <n v="1767.3"/>
    <n v="-1378.5"/>
  </r>
  <r>
    <x v="1"/>
    <x v="4"/>
    <x v="0"/>
    <x v="0"/>
    <x v="2"/>
    <x v="201"/>
    <n v="312"/>
    <n v="78.75"/>
    <n v="218.52"/>
    <n v="24570"/>
    <n v="-43608.240000000005"/>
  </r>
  <r>
    <x v="0"/>
    <x v="0"/>
    <x v="4"/>
    <x v="1"/>
    <x v="1"/>
    <x v="202"/>
    <n v="473"/>
    <n v="265.68"/>
    <n v="255.16"/>
    <n v="125666.64"/>
    <n v="4975.9600000000046"/>
  </r>
  <r>
    <x v="2"/>
    <x v="2"/>
    <x v="0"/>
    <x v="0"/>
    <x v="2"/>
    <x v="203"/>
    <n v="366"/>
    <n v="126.8"/>
    <n v="89.98"/>
    <n v="46408.800000000003"/>
    <n v="13476.119999999997"/>
  </r>
  <r>
    <x v="1"/>
    <x v="0"/>
    <x v="4"/>
    <x v="0"/>
    <x v="1"/>
    <x v="204"/>
    <n v="452"/>
    <n v="240.96"/>
    <n v="391.4"/>
    <n v="108913.92"/>
    <n v="-67998.87999999999"/>
  </r>
  <r>
    <x v="2"/>
    <x v="2"/>
    <x v="1"/>
    <x v="1"/>
    <x v="0"/>
    <x v="205"/>
    <n v="93"/>
    <n v="200.21"/>
    <n v="299.77999999999997"/>
    <n v="18619.53"/>
    <n v="-9260.0099999999966"/>
  </r>
  <r>
    <x v="1"/>
    <x v="2"/>
    <x v="3"/>
    <x v="0"/>
    <x v="2"/>
    <x v="206"/>
    <n v="271"/>
    <n v="276.95999999999998"/>
    <n v="224.01"/>
    <n v="75056.159999999989"/>
    <n v="14349.449999999997"/>
  </r>
  <r>
    <x v="1"/>
    <x v="3"/>
    <x v="3"/>
    <x v="0"/>
    <x v="1"/>
    <x v="207"/>
    <n v="156"/>
    <n v="374.7"/>
    <n v="73.88"/>
    <n v="58453.2"/>
    <n v="46927.92"/>
  </r>
  <r>
    <x v="3"/>
    <x v="2"/>
    <x v="4"/>
    <x v="1"/>
    <x v="1"/>
    <x v="208"/>
    <n v="450"/>
    <n v="359.17"/>
    <n v="23.44"/>
    <n v="161626.5"/>
    <n v="151078.5"/>
  </r>
  <r>
    <x v="2"/>
    <x v="1"/>
    <x v="3"/>
    <x v="0"/>
    <x v="0"/>
    <x v="209"/>
    <n v="462"/>
    <n v="263.01"/>
    <n v="129.38"/>
    <n v="121510.62"/>
    <n v="61737.06"/>
  </r>
  <r>
    <x v="0"/>
    <x v="4"/>
    <x v="0"/>
    <x v="0"/>
    <x v="2"/>
    <x v="210"/>
    <n v="396"/>
    <n v="412.08"/>
    <n v="301.77"/>
    <n v="163183.67999999999"/>
    <n v="43682.76"/>
  </r>
  <r>
    <x v="0"/>
    <x v="4"/>
    <x v="2"/>
    <x v="1"/>
    <x v="1"/>
    <x v="211"/>
    <n v="266"/>
    <n v="218.28"/>
    <n v="109.19"/>
    <n v="58062.48"/>
    <n v="29017.940000000002"/>
  </r>
  <r>
    <x v="2"/>
    <x v="0"/>
    <x v="4"/>
    <x v="1"/>
    <x v="0"/>
    <x v="212"/>
    <n v="67"/>
    <n v="448.87"/>
    <n v="216.74"/>
    <n v="30074.29"/>
    <n v="15552.71"/>
  </r>
  <r>
    <x v="0"/>
    <x v="2"/>
    <x v="3"/>
    <x v="0"/>
    <x v="1"/>
    <x v="213"/>
    <n v="389"/>
    <n v="40.28"/>
    <n v="291.72000000000003"/>
    <n v="15668.92"/>
    <n v="-97810.16"/>
  </r>
  <r>
    <x v="0"/>
    <x v="1"/>
    <x v="4"/>
    <x v="0"/>
    <x v="2"/>
    <x v="214"/>
    <n v="431"/>
    <n v="477.56"/>
    <n v="44.96"/>
    <n v="205828.36"/>
    <n v="186450.6"/>
  </r>
  <r>
    <x v="2"/>
    <x v="0"/>
    <x v="4"/>
    <x v="1"/>
    <x v="1"/>
    <x v="215"/>
    <n v="24"/>
    <n v="329.07"/>
    <n v="274.75"/>
    <n v="7897.68"/>
    <n v="1303.6799999999998"/>
  </r>
  <r>
    <x v="1"/>
    <x v="3"/>
    <x v="2"/>
    <x v="1"/>
    <x v="1"/>
    <x v="216"/>
    <n v="171"/>
    <n v="193.14"/>
    <n v="38.56"/>
    <n v="33026.94"/>
    <n v="26433.179999999997"/>
  </r>
  <r>
    <x v="2"/>
    <x v="0"/>
    <x v="0"/>
    <x v="0"/>
    <x v="1"/>
    <x v="217"/>
    <n v="454"/>
    <n v="102.59"/>
    <n v="386.12"/>
    <n v="46575.86"/>
    <n v="-128722.61999999998"/>
  </r>
  <r>
    <x v="1"/>
    <x v="0"/>
    <x v="4"/>
    <x v="1"/>
    <x v="1"/>
    <x v="218"/>
    <n v="172"/>
    <n v="242.2"/>
    <n v="196.38"/>
    <n v="41658.400000000001"/>
    <n v="7881.0399999999991"/>
  </r>
  <r>
    <x v="0"/>
    <x v="2"/>
    <x v="3"/>
    <x v="0"/>
    <x v="0"/>
    <x v="219"/>
    <n v="329"/>
    <n v="101.31"/>
    <n v="61.97"/>
    <n v="33330.99"/>
    <n v="12942.86"/>
  </r>
  <r>
    <x v="0"/>
    <x v="3"/>
    <x v="1"/>
    <x v="0"/>
    <x v="0"/>
    <x v="220"/>
    <n v="290"/>
    <n v="87.33"/>
    <n v="138.27000000000001"/>
    <n v="25325.7"/>
    <n v="-14772.600000000004"/>
  </r>
  <r>
    <x v="1"/>
    <x v="0"/>
    <x v="4"/>
    <x v="0"/>
    <x v="2"/>
    <x v="221"/>
    <n v="289"/>
    <n v="310.58999999999997"/>
    <n v="166.54"/>
    <n v="89760.51"/>
    <n v="41630.449999999997"/>
  </r>
  <r>
    <x v="3"/>
    <x v="1"/>
    <x v="4"/>
    <x v="0"/>
    <x v="0"/>
    <x v="222"/>
    <n v="21"/>
    <n v="263.93"/>
    <n v="303.76"/>
    <n v="5542.53"/>
    <n v="-836.42999999999961"/>
  </r>
  <r>
    <x v="1"/>
    <x v="1"/>
    <x v="2"/>
    <x v="0"/>
    <x v="0"/>
    <x v="223"/>
    <n v="283"/>
    <n v="336.7"/>
    <n v="297.88"/>
    <n v="95286.099999999991"/>
    <n v="10986.059999999998"/>
  </r>
  <r>
    <x v="3"/>
    <x v="4"/>
    <x v="0"/>
    <x v="1"/>
    <x v="2"/>
    <x v="224"/>
    <n v="280"/>
    <n v="465.15"/>
    <n v="245.55"/>
    <n v="130242"/>
    <n v="61487.999999999993"/>
  </r>
  <r>
    <x v="3"/>
    <x v="3"/>
    <x v="1"/>
    <x v="1"/>
    <x v="0"/>
    <x v="225"/>
    <n v="217"/>
    <n v="268.47000000000003"/>
    <n v="44.16"/>
    <n v="58257.990000000013"/>
    <n v="48675.270000000004"/>
  </r>
  <r>
    <x v="2"/>
    <x v="3"/>
    <x v="3"/>
    <x v="1"/>
    <x v="0"/>
    <x v="226"/>
    <n v="36"/>
    <n v="292.56"/>
    <n v="62.32"/>
    <n v="10532.16"/>
    <n v="8288.64"/>
  </r>
  <r>
    <x v="3"/>
    <x v="4"/>
    <x v="1"/>
    <x v="1"/>
    <x v="2"/>
    <x v="227"/>
    <n v="248.5"/>
    <n v="49.37"/>
    <n v="39.32"/>
    <n v="12268.445"/>
    <n v="2497.4249999999993"/>
  </r>
  <r>
    <x v="2"/>
    <x v="0"/>
    <x v="3"/>
    <x v="0"/>
    <x v="2"/>
    <x v="228"/>
    <n v="69"/>
    <n v="360.23"/>
    <n v="231.71"/>
    <n v="24855.87"/>
    <n v="8867.880000000001"/>
  </r>
  <r>
    <x v="2"/>
    <x v="3"/>
    <x v="0"/>
    <x v="0"/>
    <x v="2"/>
    <x v="229"/>
    <n v="439"/>
    <n v="202.95"/>
    <n v="351.1"/>
    <n v="89095.049999999988"/>
    <n v="-65037.850000000013"/>
  </r>
  <r>
    <x v="3"/>
    <x v="1"/>
    <x v="3"/>
    <x v="0"/>
    <x v="1"/>
    <x v="230"/>
    <n v="482"/>
    <n v="488.48"/>
    <n v="174.65"/>
    <n v="235447.36"/>
    <n v="151266.06000000003"/>
  </r>
  <r>
    <x v="1"/>
    <x v="1"/>
    <x v="2"/>
    <x v="0"/>
    <x v="1"/>
    <x v="231"/>
    <n v="154"/>
    <n v="412.47"/>
    <n v="66.02"/>
    <n v="63520.38"/>
    <n v="53353.30000000001"/>
  </r>
  <r>
    <x v="1"/>
    <x v="2"/>
    <x v="2"/>
    <x v="1"/>
    <x v="2"/>
    <x v="232"/>
    <n v="102"/>
    <n v="263.63"/>
    <n v="224.1"/>
    <n v="26890.26"/>
    <n v="4032.06"/>
  </r>
  <r>
    <x v="1"/>
    <x v="3"/>
    <x v="2"/>
    <x v="0"/>
    <x v="2"/>
    <x v="233"/>
    <n v="318"/>
    <n v="66"/>
    <n v="325.08"/>
    <n v="20988"/>
    <n v="-82387.439999999988"/>
  </r>
  <r>
    <x v="1"/>
    <x v="0"/>
    <x v="2"/>
    <x v="0"/>
    <x v="2"/>
    <x v="234"/>
    <n v="17"/>
    <n v="430.41"/>
    <n v="297.2"/>
    <n v="7316.97"/>
    <n v="2264.5700000000006"/>
  </r>
  <r>
    <x v="1"/>
    <x v="4"/>
    <x v="1"/>
    <x v="1"/>
    <x v="1"/>
    <x v="235"/>
    <n v="88"/>
    <n v="400.89"/>
    <n v="352.82"/>
    <n v="35278.32"/>
    <n v="4230.16"/>
  </r>
  <r>
    <x v="3"/>
    <x v="4"/>
    <x v="0"/>
    <x v="1"/>
    <x v="1"/>
    <x v="236"/>
    <n v="36"/>
    <n v="96.37"/>
    <n v="112.61"/>
    <n v="3469.32"/>
    <n v="-584.63999999999987"/>
  </r>
  <r>
    <x v="3"/>
    <x v="0"/>
    <x v="3"/>
    <x v="1"/>
    <x v="0"/>
    <x v="237"/>
    <n v="183"/>
    <n v="151.16"/>
    <n v="79.19"/>
    <n v="27662.28"/>
    <n v="13170.51"/>
  </r>
  <r>
    <x v="0"/>
    <x v="2"/>
    <x v="3"/>
    <x v="1"/>
    <x v="0"/>
    <x v="238"/>
    <n v="59"/>
    <n v="397.74"/>
    <n v="352.17"/>
    <n v="23466.66"/>
    <n v="2688.6299999999997"/>
  </r>
  <r>
    <x v="1"/>
    <x v="4"/>
    <x v="2"/>
    <x v="0"/>
    <x v="2"/>
    <x v="239"/>
    <n v="208"/>
    <n v="96.69"/>
    <n v="263.70999999999998"/>
    <n v="20111.52"/>
    <n v="-34740.159999999996"/>
  </r>
  <r>
    <x v="3"/>
    <x v="3"/>
    <x v="2"/>
    <x v="0"/>
    <x v="1"/>
    <x v="240"/>
    <n v="396"/>
    <n v="459.29"/>
    <n v="125.75"/>
    <n v="181878.84"/>
    <n v="132081.84"/>
  </r>
  <r>
    <x v="0"/>
    <x v="2"/>
    <x v="4"/>
    <x v="1"/>
    <x v="1"/>
    <x v="241"/>
    <n v="358"/>
    <n v="215.14"/>
    <n v="297.45"/>
    <n v="77020.12"/>
    <n v="-29466.98"/>
  </r>
  <r>
    <x v="1"/>
    <x v="3"/>
    <x v="0"/>
    <x v="0"/>
    <x v="1"/>
    <x v="242"/>
    <n v="457"/>
    <n v="48.08"/>
    <n v="326.42"/>
    <n v="21972.560000000001"/>
    <n v="-127201.38000000002"/>
  </r>
  <r>
    <x v="2"/>
    <x v="1"/>
    <x v="1"/>
    <x v="0"/>
    <x v="2"/>
    <x v="243"/>
    <n v="437"/>
    <n v="408.8"/>
    <n v="246.76"/>
    <n v="178645.6"/>
    <n v="70811.48000000001"/>
  </r>
  <r>
    <x v="0"/>
    <x v="2"/>
    <x v="3"/>
    <x v="0"/>
    <x v="0"/>
    <x v="244"/>
    <n v="190"/>
    <n v="189.89"/>
    <n v="275.77999999999997"/>
    <n v="36079.1"/>
    <n v="-16319.099999999997"/>
  </r>
  <r>
    <x v="3"/>
    <x v="4"/>
    <x v="4"/>
    <x v="1"/>
    <x v="2"/>
    <x v="245"/>
    <n v="33"/>
    <n v="265.62"/>
    <n v="151.35"/>
    <n v="8765.4600000000009"/>
    <n v="3770.9100000000003"/>
  </r>
  <r>
    <x v="2"/>
    <x v="2"/>
    <x v="4"/>
    <x v="0"/>
    <x v="0"/>
    <x v="246"/>
    <n v="325"/>
    <n v="60.59"/>
    <n v="216.4"/>
    <n v="19691.75"/>
    <n v="-50638.25"/>
  </r>
  <r>
    <x v="2"/>
    <x v="2"/>
    <x v="3"/>
    <x v="1"/>
    <x v="0"/>
    <x v="247"/>
    <n v="387"/>
    <n v="6.28"/>
    <n v="210.62"/>
    <n v="2430.36"/>
    <n v="-79079.58"/>
  </r>
  <r>
    <x v="2"/>
    <x v="2"/>
    <x v="1"/>
    <x v="0"/>
    <x v="2"/>
    <x v="248"/>
    <n v="396"/>
    <n v="320.8"/>
    <n v="339.52"/>
    <n v="127036.8"/>
    <n v="-7413.1199999999881"/>
  </r>
  <r>
    <x v="0"/>
    <x v="2"/>
    <x v="4"/>
    <x v="0"/>
    <x v="0"/>
    <x v="249"/>
    <n v="413"/>
    <n v="260.01"/>
    <n v="336.31"/>
    <n v="107384.13"/>
    <n v="-31511.900000000005"/>
  </r>
  <r>
    <x v="3"/>
    <x v="3"/>
    <x v="4"/>
    <x v="0"/>
    <x v="0"/>
    <x v="250"/>
    <n v="248.5"/>
    <n v="298.8"/>
    <n v="333.41"/>
    <n v="74251.8"/>
    <n v="-8600.5850000000028"/>
  </r>
  <r>
    <x v="2"/>
    <x v="1"/>
    <x v="0"/>
    <x v="1"/>
    <x v="1"/>
    <x v="251"/>
    <n v="24"/>
    <n v="397.9"/>
    <n v="6.39"/>
    <n v="9549.5999999999985"/>
    <n v="9396.24"/>
  </r>
  <r>
    <x v="1"/>
    <x v="0"/>
    <x v="0"/>
    <x v="0"/>
    <x v="0"/>
    <x v="252"/>
    <n v="162"/>
    <n v="325.07"/>
    <n v="300.32"/>
    <n v="52661.34"/>
    <n v="4009.5"/>
  </r>
  <r>
    <x v="2"/>
    <x v="2"/>
    <x v="4"/>
    <x v="1"/>
    <x v="2"/>
    <x v="253"/>
    <n v="231"/>
    <n v="91.51"/>
    <n v="303.95"/>
    <n v="21138.81"/>
    <n v="-49073.64"/>
  </r>
  <r>
    <x v="2"/>
    <x v="4"/>
    <x v="1"/>
    <x v="1"/>
    <x v="2"/>
    <x v="254"/>
    <n v="215"/>
    <n v="183.58"/>
    <n v="271.99"/>
    <n v="39469.699999999997"/>
    <n v="-19008.149999999998"/>
  </r>
  <r>
    <x v="0"/>
    <x v="2"/>
    <x v="3"/>
    <x v="1"/>
    <x v="0"/>
    <x v="255"/>
    <n v="464"/>
    <n v="453.42"/>
    <n v="302.99"/>
    <n v="210386.88"/>
    <n v="69799.520000000004"/>
  </r>
  <r>
    <x v="0"/>
    <x v="4"/>
    <x v="2"/>
    <x v="0"/>
    <x v="1"/>
    <x v="256"/>
    <n v="282"/>
    <n v="255.39500000000001"/>
    <n v="337.1"/>
    <n v="72021.39"/>
    <n v="-23040.810000000005"/>
  </r>
  <r>
    <x v="3"/>
    <x v="3"/>
    <x v="4"/>
    <x v="0"/>
    <x v="1"/>
    <x v="257"/>
    <n v="391"/>
    <n v="280.54000000000002"/>
    <n v="189.19"/>
    <n v="109691.14"/>
    <n v="35717.850000000006"/>
  </r>
  <r>
    <x v="1"/>
    <x v="4"/>
    <x v="0"/>
    <x v="0"/>
    <x v="0"/>
    <x v="258"/>
    <n v="245"/>
    <n v="131.54"/>
    <n v="201.82"/>
    <n v="32227.3"/>
    <n v="-17218.599999999999"/>
  </r>
  <r>
    <x v="0"/>
    <x v="0"/>
    <x v="3"/>
    <x v="0"/>
    <x v="0"/>
    <x v="259"/>
    <n v="349"/>
    <n v="154.52000000000001"/>
    <n v="51.64"/>
    <n v="53927.48"/>
    <n v="35905.120000000003"/>
  </r>
  <r>
    <x v="2"/>
    <x v="1"/>
    <x v="1"/>
    <x v="1"/>
    <x v="2"/>
    <x v="260"/>
    <n v="237"/>
    <n v="255.39500000000001"/>
    <n v="155.38"/>
    <n v="60528.615000000013"/>
    <n v="23703.555000000004"/>
  </r>
  <r>
    <x v="3"/>
    <x v="4"/>
    <x v="3"/>
    <x v="1"/>
    <x v="0"/>
    <x v="261"/>
    <n v="18"/>
    <n v="426.33"/>
    <n v="258.06"/>
    <n v="7673.94"/>
    <n v="3028.8599999999997"/>
  </r>
  <r>
    <x v="2"/>
    <x v="4"/>
    <x v="4"/>
    <x v="1"/>
    <x v="1"/>
    <x v="262"/>
    <n v="175"/>
    <n v="337.36"/>
    <n v="312.60000000000002"/>
    <n v="59038"/>
    <n v="4332.9999999999982"/>
  </r>
  <r>
    <x v="2"/>
    <x v="1"/>
    <x v="0"/>
    <x v="0"/>
    <x v="0"/>
    <x v="263"/>
    <n v="441"/>
    <n v="405.72"/>
    <n v="88.45"/>
    <n v="178922.52"/>
    <n v="139916.07"/>
  </r>
  <r>
    <x v="0"/>
    <x v="0"/>
    <x v="2"/>
    <x v="1"/>
    <x v="2"/>
    <x v="264"/>
    <n v="453"/>
    <n v="384.49"/>
    <n v="56.85"/>
    <n v="174173.97"/>
    <n v="148420.91999999998"/>
  </r>
  <r>
    <x v="3"/>
    <x v="2"/>
    <x v="3"/>
    <x v="0"/>
    <x v="2"/>
    <x v="265"/>
    <n v="328"/>
    <n v="79.099999999999994"/>
    <n v="265.89"/>
    <n v="25944.799999999999"/>
    <n v="-61267.119999999995"/>
  </r>
  <r>
    <x v="1"/>
    <x v="4"/>
    <x v="4"/>
    <x v="1"/>
    <x v="2"/>
    <x v="266"/>
    <n v="223"/>
    <n v="214.85"/>
    <n v="2.75"/>
    <n v="47911.55"/>
    <n v="47298.299999999996"/>
  </r>
  <r>
    <x v="1"/>
    <x v="1"/>
    <x v="0"/>
    <x v="0"/>
    <x v="2"/>
    <x v="267"/>
    <n v="126"/>
    <n v="80.73"/>
    <n v="72.989999999999995"/>
    <n v="10171.98"/>
    <n v="975.24000000000115"/>
  </r>
  <r>
    <x v="0"/>
    <x v="3"/>
    <x v="1"/>
    <x v="0"/>
    <x v="2"/>
    <x v="268"/>
    <n v="395"/>
    <n v="121.44"/>
    <n v="13.57"/>
    <n v="47968.800000000003"/>
    <n v="42608.65"/>
  </r>
  <r>
    <x v="0"/>
    <x v="1"/>
    <x v="3"/>
    <x v="1"/>
    <x v="0"/>
    <x v="269"/>
    <n v="353"/>
    <n v="435.28"/>
    <n v="68.42"/>
    <n v="153653.84"/>
    <n v="129501.57999999999"/>
  </r>
  <r>
    <x v="3"/>
    <x v="3"/>
    <x v="3"/>
    <x v="1"/>
    <x v="0"/>
    <x v="270"/>
    <n v="81"/>
    <n v="239.08"/>
    <n v="74.17"/>
    <n v="19365.48"/>
    <n v="13357.710000000003"/>
  </r>
  <r>
    <x v="1"/>
    <x v="0"/>
    <x v="2"/>
    <x v="1"/>
    <x v="0"/>
    <x v="271"/>
    <n v="404"/>
    <n v="270"/>
    <n v="156.29"/>
    <n v="109080"/>
    <n v="45938.840000000004"/>
  </r>
  <r>
    <x v="1"/>
    <x v="2"/>
    <x v="2"/>
    <x v="1"/>
    <x v="0"/>
    <x v="272"/>
    <n v="73"/>
    <n v="93.33"/>
    <n v="162.13"/>
    <n v="6813.09"/>
    <n v="-5022.3999999999996"/>
  </r>
  <r>
    <x v="1"/>
    <x v="1"/>
    <x v="0"/>
    <x v="0"/>
    <x v="2"/>
    <x v="273"/>
    <n v="214"/>
    <n v="159.57"/>
    <n v="349.96"/>
    <n v="34147.980000000003"/>
    <n v="-40743.46"/>
  </r>
  <r>
    <x v="2"/>
    <x v="4"/>
    <x v="0"/>
    <x v="1"/>
    <x v="1"/>
    <x v="274"/>
    <n v="218"/>
    <n v="118.97"/>
    <n v="205.02"/>
    <n v="25935.46"/>
    <n v="-18758.900000000001"/>
  </r>
  <r>
    <x v="1"/>
    <x v="0"/>
    <x v="4"/>
    <x v="1"/>
    <x v="0"/>
    <x v="275"/>
    <n v="81"/>
    <n v="107.06"/>
    <n v="289.92"/>
    <n v="8671.86"/>
    <n v="-14811.660000000002"/>
  </r>
  <r>
    <x v="2"/>
    <x v="1"/>
    <x v="4"/>
    <x v="1"/>
    <x v="1"/>
    <x v="276"/>
    <n v="286"/>
    <n v="320.79000000000002"/>
    <n v="43.45"/>
    <n v="91745.94"/>
    <n v="79319.240000000005"/>
  </r>
  <r>
    <x v="3"/>
    <x v="4"/>
    <x v="0"/>
    <x v="0"/>
    <x v="0"/>
    <x v="277"/>
    <n v="283"/>
    <n v="132.16"/>
    <n v="91.72"/>
    <n v="37401.279999999999"/>
    <n v="11444.519999999999"/>
  </r>
  <r>
    <x v="2"/>
    <x v="1"/>
    <x v="0"/>
    <x v="0"/>
    <x v="0"/>
    <x v="278"/>
    <n v="487"/>
    <n v="317.85000000000002"/>
    <n v="281.77"/>
    <n v="154792.95000000001"/>
    <n v="17570.960000000021"/>
  </r>
  <r>
    <x v="3"/>
    <x v="3"/>
    <x v="1"/>
    <x v="1"/>
    <x v="1"/>
    <x v="279"/>
    <n v="329"/>
    <n v="33.94"/>
    <n v="23.02"/>
    <n v="11166.26"/>
    <n v="3592.6799999999994"/>
  </r>
  <r>
    <x v="1"/>
    <x v="1"/>
    <x v="2"/>
    <x v="0"/>
    <x v="2"/>
    <x v="280"/>
    <n v="347"/>
    <n v="75.180000000000007"/>
    <n v="195.67"/>
    <n v="26087.46"/>
    <n v="-41810.029999999992"/>
  </r>
  <r>
    <x v="1"/>
    <x v="1"/>
    <x v="4"/>
    <x v="1"/>
    <x v="0"/>
    <x v="281"/>
    <n v="375"/>
    <n v="140.9"/>
    <n v="240.55"/>
    <n v="52837.5"/>
    <n v="-37368.75"/>
  </r>
  <r>
    <x v="3"/>
    <x v="1"/>
    <x v="2"/>
    <x v="0"/>
    <x v="0"/>
    <x v="282"/>
    <n v="104"/>
    <n v="300.54000000000002"/>
    <n v="241.65"/>
    <n v="31256.16"/>
    <n v="6124.5600000000013"/>
  </r>
  <r>
    <x v="0"/>
    <x v="0"/>
    <x v="0"/>
    <x v="0"/>
    <x v="0"/>
    <x v="283"/>
    <n v="175"/>
    <n v="339.54"/>
    <n v="11.13"/>
    <n v="59419.5"/>
    <n v="57471.750000000007"/>
  </r>
  <r>
    <x v="3"/>
    <x v="1"/>
    <x v="0"/>
    <x v="0"/>
    <x v="1"/>
    <x v="284"/>
    <n v="41"/>
    <n v="224.14"/>
    <n v="130.19999999999999"/>
    <n v="9189.74"/>
    <n v="3851.54"/>
  </r>
  <r>
    <x v="0"/>
    <x v="4"/>
    <x v="1"/>
    <x v="0"/>
    <x v="2"/>
    <x v="285"/>
    <n v="20"/>
    <n v="225.67"/>
    <n v="255.32"/>
    <n v="4513.3999999999996"/>
    <n v="-593.00000000000011"/>
  </r>
  <r>
    <x v="2"/>
    <x v="3"/>
    <x v="3"/>
    <x v="1"/>
    <x v="1"/>
    <x v="286"/>
    <n v="310"/>
    <n v="363.64"/>
    <n v="61.3"/>
    <n v="112728.4"/>
    <n v="93725.4"/>
  </r>
  <r>
    <x v="2"/>
    <x v="3"/>
    <x v="1"/>
    <x v="1"/>
    <x v="1"/>
    <x v="287"/>
    <n v="226"/>
    <n v="255.39500000000001"/>
    <n v="278.77999999999997"/>
    <n v="57719.27"/>
    <n v="-5285.0099999999911"/>
  </r>
  <r>
    <x v="2"/>
    <x v="1"/>
    <x v="1"/>
    <x v="1"/>
    <x v="2"/>
    <x v="288"/>
    <n v="248.5"/>
    <n v="173.84"/>
    <n v="298.88"/>
    <n v="43199.24"/>
    <n v="-31072.44"/>
  </r>
  <r>
    <x v="1"/>
    <x v="0"/>
    <x v="2"/>
    <x v="0"/>
    <x v="1"/>
    <x v="289"/>
    <n v="111"/>
    <n v="410.26"/>
    <n v="392.82"/>
    <n v="45538.86"/>
    <n v="1935.8399999999997"/>
  </r>
  <r>
    <x v="2"/>
    <x v="0"/>
    <x v="1"/>
    <x v="1"/>
    <x v="2"/>
    <x v="290"/>
    <n v="434"/>
    <n v="303.58999999999997"/>
    <n v="85.52"/>
    <n v="131758.06"/>
    <n v="94642.37999999999"/>
  </r>
  <r>
    <x v="0"/>
    <x v="4"/>
    <x v="4"/>
    <x v="1"/>
    <x v="0"/>
    <x v="291"/>
    <n v="401"/>
    <n v="171.93"/>
    <n v="330.4"/>
    <n v="68943.930000000008"/>
    <n v="-63546.469999999987"/>
  </r>
  <r>
    <x v="2"/>
    <x v="1"/>
    <x v="2"/>
    <x v="1"/>
    <x v="2"/>
    <x v="292"/>
    <n v="276"/>
    <n v="453.23"/>
    <n v="209.08"/>
    <n v="125091.48"/>
    <n v="67385.400000000009"/>
  </r>
  <r>
    <x v="3"/>
    <x v="3"/>
    <x v="4"/>
    <x v="0"/>
    <x v="0"/>
    <x v="293"/>
    <n v="248.5"/>
    <n v="387.45"/>
    <n v="150.63999999999999"/>
    <n v="96281.324999999997"/>
    <n v="58847.285000000003"/>
  </r>
  <r>
    <x v="3"/>
    <x v="0"/>
    <x v="3"/>
    <x v="0"/>
    <x v="1"/>
    <x v="294"/>
    <n v="188"/>
    <n v="136.12"/>
    <n v="50.71"/>
    <n v="25590.560000000001"/>
    <n v="16057.08"/>
  </r>
  <r>
    <x v="1"/>
    <x v="1"/>
    <x v="2"/>
    <x v="0"/>
    <x v="1"/>
    <x v="295"/>
    <n v="97"/>
    <n v="324.42"/>
    <n v="294.73"/>
    <n v="31468.74"/>
    <n v="2879.93"/>
  </r>
  <r>
    <x v="3"/>
    <x v="0"/>
    <x v="3"/>
    <x v="1"/>
    <x v="0"/>
    <x v="296"/>
    <n v="50"/>
    <n v="299.89999999999998"/>
    <n v="95.87"/>
    <n v="14995"/>
    <n v="10201.499999999998"/>
  </r>
  <r>
    <x v="0"/>
    <x v="0"/>
    <x v="2"/>
    <x v="1"/>
    <x v="1"/>
    <x v="297"/>
    <n v="410"/>
    <n v="203.59"/>
    <n v="149.83000000000001"/>
    <n v="83471.899999999994"/>
    <n v="22041.599999999995"/>
  </r>
  <r>
    <x v="2"/>
    <x v="3"/>
    <x v="0"/>
    <x v="1"/>
    <x v="2"/>
    <x v="298"/>
    <n v="85"/>
    <n v="186.64"/>
    <n v="26.89"/>
    <n v="15864.4"/>
    <n v="13578.75"/>
  </r>
  <r>
    <x v="1"/>
    <x v="2"/>
    <x v="1"/>
    <x v="0"/>
    <x v="0"/>
    <x v="299"/>
    <n v="386"/>
    <n v="175.06"/>
    <n v="320.94"/>
    <n v="67573.16"/>
    <n v="-56309.68"/>
  </r>
  <r>
    <x v="2"/>
    <x v="4"/>
    <x v="0"/>
    <x v="0"/>
    <x v="1"/>
    <x v="300"/>
    <n v="55"/>
    <n v="310.49"/>
    <n v="307.10000000000002"/>
    <n v="17076.95"/>
    <n v="186.44999999999925"/>
  </r>
  <r>
    <x v="2"/>
    <x v="4"/>
    <x v="3"/>
    <x v="1"/>
    <x v="0"/>
    <x v="301"/>
    <n v="169"/>
    <n v="223.99"/>
    <n v="293.98"/>
    <n v="37854.31"/>
    <n v="-11828.310000000001"/>
  </r>
  <r>
    <x v="0"/>
    <x v="3"/>
    <x v="1"/>
    <x v="0"/>
    <x v="2"/>
    <x v="302"/>
    <n v="472"/>
    <n v="416.77"/>
    <n v="121.18"/>
    <n v="196715.44"/>
    <n v="139518.47999999998"/>
  </r>
  <r>
    <x v="3"/>
    <x v="0"/>
    <x v="2"/>
    <x v="0"/>
    <x v="2"/>
    <x v="303"/>
    <n v="89"/>
    <n v="336.45"/>
    <n v="71.05"/>
    <n v="29944.05"/>
    <n v="23620.6"/>
  </r>
  <r>
    <x v="3"/>
    <x v="1"/>
    <x v="1"/>
    <x v="0"/>
    <x v="1"/>
    <x v="304"/>
    <n v="319"/>
    <n v="39.619999999999997"/>
    <n v="255.75"/>
    <n v="12638.78"/>
    <n v="-68945.47"/>
  </r>
  <r>
    <x v="2"/>
    <x v="0"/>
    <x v="0"/>
    <x v="0"/>
    <x v="2"/>
    <x v="305"/>
    <n v="95"/>
    <n v="321.88"/>
    <n v="199.47"/>
    <n v="30578.6"/>
    <n v="11628.949999999999"/>
  </r>
  <r>
    <x v="1"/>
    <x v="3"/>
    <x v="0"/>
    <x v="1"/>
    <x v="0"/>
    <x v="306"/>
    <n v="101"/>
    <n v="139.22"/>
    <n v="72.94"/>
    <n v="14061.22"/>
    <n v="6694.28"/>
  </r>
  <r>
    <x v="3"/>
    <x v="4"/>
    <x v="0"/>
    <x v="0"/>
    <x v="2"/>
    <x v="307"/>
    <n v="157"/>
    <n v="255.39500000000001"/>
    <n v="274.99"/>
    <n v="40097.014999999999"/>
    <n v="-3076.415"/>
  </r>
  <r>
    <x v="1"/>
    <x v="0"/>
    <x v="1"/>
    <x v="0"/>
    <x v="0"/>
    <x v="308"/>
    <n v="170"/>
    <n v="341.67"/>
    <n v="396.47"/>
    <n v="58083.9"/>
    <n v="-9316.0000000000018"/>
  </r>
  <r>
    <x v="3"/>
    <x v="4"/>
    <x v="4"/>
    <x v="0"/>
    <x v="0"/>
    <x v="309"/>
    <n v="211"/>
    <n v="119.26"/>
    <n v="299.39"/>
    <n v="25163.86"/>
    <n v="-38007.43"/>
  </r>
  <r>
    <x v="1"/>
    <x v="1"/>
    <x v="3"/>
    <x v="0"/>
    <x v="2"/>
    <x v="310"/>
    <n v="433"/>
    <n v="231.15"/>
    <n v="296.51"/>
    <n v="100087.95"/>
    <n v="-28300.879999999994"/>
  </r>
  <r>
    <x v="0"/>
    <x v="4"/>
    <x v="0"/>
    <x v="1"/>
    <x v="1"/>
    <x v="311"/>
    <n v="425"/>
    <n v="99.21"/>
    <n v="380.22"/>
    <n v="42164.25"/>
    <n v="-119429.25000000001"/>
  </r>
  <r>
    <x v="1"/>
    <x v="4"/>
    <x v="2"/>
    <x v="1"/>
    <x v="2"/>
    <x v="312"/>
    <n v="251"/>
    <n v="30.91"/>
    <n v="82.77"/>
    <n v="7758.41"/>
    <n v="-13016.86"/>
  </r>
  <r>
    <x v="0"/>
    <x v="2"/>
    <x v="1"/>
    <x v="0"/>
    <x v="0"/>
    <x v="313"/>
    <n v="248.5"/>
    <n v="192.35"/>
    <n v="227.09"/>
    <n v="47798.974999999999"/>
    <n v="-8632.8900000000031"/>
  </r>
  <r>
    <x v="0"/>
    <x v="2"/>
    <x v="0"/>
    <x v="0"/>
    <x v="0"/>
    <x v="314"/>
    <n v="11"/>
    <n v="184.66"/>
    <n v="391.9"/>
    <n v="2031.26"/>
    <n v="-2279.64"/>
  </r>
  <r>
    <x v="1"/>
    <x v="2"/>
    <x v="2"/>
    <x v="0"/>
    <x v="2"/>
    <x v="315"/>
    <n v="234"/>
    <n v="497.76"/>
    <n v="67.790000000000006"/>
    <n v="116475.84"/>
    <n v="100612.98"/>
  </r>
  <r>
    <x v="0"/>
    <x v="4"/>
    <x v="2"/>
    <x v="0"/>
    <x v="1"/>
    <x v="316"/>
    <n v="248.5"/>
    <n v="225.94"/>
    <n v="280.7"/>
    <n v="56146.09"/>
    <n v="-13607.859999999997"/>
  </r>
  <r>
    <x v="2"/>
    <x v="3"/>
    <x v="4"/>
    <x v="0"/>
    <x v="1"/>
    <x v="317"/>
    <n v="242"/>
    <n v="170.12"/>
    <n v="235.15"/>
    <n v="41169.040000000001"/>
    <n v="-15737.26"/>
  </r>
  <r>
    <x v="0"/>
    <x v="4"/>
    <x v="3"/>
    <x v="0"/>
    <x v="0"/>
    <x v="318"/>
    <n v="470"/>
    <n v="292.33999999999997"/>
    <n v="235.42"/>
    <n v="137399.79999999999"/>
    <n v="26752.399999999994"/>
  </r>
  <r>
    <x v="3"/>
    <x v="3"/>
    <x v="3"/>
    <x v="1"/>
    <x v="0"/>
    <x v="319"/>
    <n v="423"/>
    <n v="48.94"/>
    <n v="279.67"/>
    <n v="20701.62"/>
    <n v="-97598.790000000008"/>
  </r>
  <r>
    <x v="1"/>
    <x v="3"/>
    <x v="0"/>
    <x v="0"/>
    <x v="1"/>
    <x v="320"/>
    <n v="426"/>
    <n v="481.02"/>
    <n v="371.99"/>
    <n v="204914.52"/>
    <n v="46446.779999999992"/>
  </r>
  <r>
    <x v="2"/>
    <x v="2"/>
    <x v="3"/>
    <x v="1"/>
    <x v="2"/>
    <x v="321"/>
    <n v="86"/>
    <n v="319.31"/>
    <n v="313.47000000000003"/>
    <n v="27460.66"/>
    <n v="502.23999999999785"/>
  </r>
  <r>
    <x v="1"/>
    <x v="0"/>
    <x v="1"/>
    <x v="1"/>
    <x v="0"/>
    <x v="322"/>
    <n v="125"/>
    <n v="378.64"/>
    <n v="24.34"/>
    <n v="47330"/>
    <n v="44287.5"/>
  </r>
  <r>
    <x v="3"/>
    <x v="1"/>
    <x v="0"/>
    <x v="0"/>
    <x v="0"/>
    <x v="323"/>
    <n v="163"/>
    <n v="89.39"/>
    <n v="341.39"/>
    <n v="14570.57"/>
    <n v="-41076"/>
  </r>
  <r>
    <x v="3"/>
    <x v="2"/>
    <x v="0"/>
    <x v="1"/>
    <x v="1"/>
    <x v="324"/>
    <n v="415"/>
    <n v="207.69"/>
    <n v="91.77"/>
    <n v="86191.35"/>
    <n v="48106.8"/>
  </r>
  <r>
    <x v="3"/>
    <x v="2"/>
    <x v="3"/>
    <x v="1"/>
    <x v="2"/>
    <x v="325"/>
    <n v="112"/>
    <n v="214.23"/>
    <n v="152.01"/>
    <n v="23993.759999999998"/>
    <n v="6968.6399999999994"/>
  </r>
  <r>
    <x v="0"/>
    <x v="0"/>
    <x v="1"/>
    <x v="1"/>
    <x v="1"/>
    <x v="326"/>
    <n v="203"/>
    <n v="411.79"/>
    <n v="185.77"/>
    <n v="83593.37000000001"/>
    <n v="45882.060000000005"/>
  </r>
  <r>
    <x v="0"/>
    <x v="1"/>
    <x v="4"/>
    <x v="1"/>
    <x v="2"/>
    <x v="327"/>
    <n v="248.5"/>
    <n v="5.61"/>
    <n v="193.4"/>
    <n v="1394.085"/>
    <n v="-46665.814999999995"/>
  </r>
  <r>
    <x v="1"/>
    <x v="4"/>
    <x v="0"/>
    <x v="1"/>
    <x v="2"/>
    <x v="328"/>
    <n v="368"/>
    <n v="153.91999999999999"/>
    <n v="175.2"/>
    <n v="56642.559999999998"/>
    <n v="-7831.0400000000009"/>
  </r>
  <r>
    <x v="1"/>
    <x v="4"/>
    <x v="4"/>
    <x v="1"/>
    <x v="2"/>
    <x v="329"/>
    <n v="99"/>
    <n v="490.71"/>
    <n v="375.07"/>
    <n v="48580.29"/>
    <n v="11448.359999999999"/>
  </r>
  <r>
    <x v="2"/>
    <x v="2"/>
    <x v="4"/>
    <x v="0"/>
    <x v="0"/>
    <x v="330"/>
    <n v="183"/>
    <n v="240.07"/>
    <n v="283"/>
    <n v="43932.81"/>
    <n v="-7856.1900000000014"/>
  </r>
  <r>
    <x v="1"/>
    <x v="1"/>
    <x v="4"/>
    <x v="1"/>
    <x v="1"/>
    <x v="331"/>
    <n v="131"/>
    <n v="194.35"/>
    <n v="253.21"/>
    <n v="25459.85"/>
    <n v="-7710.6600000000017"/>
  </r>
  <r>
    <x v="1"/>
    <x v="2"/>
    <x v="2"/>
    <x v="1"/>
    <x v="1"/>
    <x v="332"/>
    <n v="152"/>
    <n v="64.319999999999993"/>
    <n v="21.84"/>
    <n v="9776.64"/>
    <n v="6456.9599999999982"/>
  </r>
  <r>
    <x v="0"/>
    <x v="3"/>
    <x v="2"/>
    <x v="1"/>
    <x v="2"/>
    <x v="333"/>
    <n v="491"/>
    <n v="487.21"/>
    <n v="361.76"/>
    <n v="239220.11"/>
    <n v="61595.95"/>
  </r>
  <r>
    <x v="3"/>
    <x v="2"/>
    <x v="4"/>
    <x v="0"/>
    <x v="0"/>
    <x v="334"/>
    <n v="115"/>
    <n v="14.91"/>
    <n v="363.94"/>
    <n v="1714.65"/>
    <n v="-40138.449999999997"/>
  </r>
  <r>
    <x v="1"/>
    <x v="2"/>
    <x v="0"/>
    <x v="1"/>
    <x v="0"/>
    <x v="335"/>
    <n v="384"/>
    <n v="369.9"/>
    <n v="312.52"/>
    <n v="142041.60000000001"/>
    <n v="22033.919999999998"/>
  </r>
  <r>
    <x v="2"/>
    <x v="4"/>
    <x v="1"/>
    <x v="0"/>
    <x v="1"/>
    <x v="336"/>
    <n v="437"/>
    <n v="385.46"/>
    <n v="4.8"/>
    <n v="168446.02"/>
    <n v="166348.41999999998"/>
  </r>
  <r>
    <x v="0"/>
    <x v="4"/>
    <x v="1"/>
    <x v="1"/>
    <x v="0"/>
    <x v="337"/>
    <n v="314"/>
    <n v="125.61"/>
    <n v="24.8"/>
    <n v="39441.54"/>
    <n v="31654.34"/>
  </r>
  <r>
    <x v="1"/>
    <x v="4"/>
    <x v="3"/>
    <x v="0"/>
    <x v="0"/>
    <x v="338"/>
    <n v="369"/>
    <n v="337.42"/>
    <n v="91.64"/>
    <n v="124507.98"/>
    <n v="90692.82"/>
  </r>
  <r>
    <x v="1"/>
    <x v="3"/>
    <x v="0"/>
    <x v="0"/>
    <x v="2"/>
    <x v="339"/>
    <n v="468"/>
    <n v="51"/>
    <n v="54.28"/>
    <n v="23868"/>
    <n v="-1535.0400000000004"/>
  </r>
  <r>
    <x v="0"/>
    <x v="4"/>
    <x v="2"/>
    <x v="1"/>
    <x v="0"/>
    <x v="340"/>
    <n v="326"/>
    <n v="132.24"/>
    <n v="160.74"/>
    <n v="43110.240000000013"/>
    <n v="-9291"/>
  </r>
  <r>
    <x v="1"/>
    <x v="1"/>
    <x v="4"/>
    <x v="1"/>
    <x v="2"/>
    <x v="341"/>
    <n v="460"/>
    <n v="395.01"/>
    <n v="369.2"/>
    <n v="181704.6"/>
    <n v="11872.6"/>
  </r>
  <r>
    <x v="0"/>
    <x v="0"/>
    <x v="3"/>
    <x v="0"/>
    <x v="1"/>
    <x v="342"/>
    <n v="132"/>
    <n v="433.02"/>
    <n v="189.88"/>
    <n v="57158.64"/>
    <n v="32094.48"/>
  </r>
  <r>
    <x v="3"/>
    <x v="1"/>
    <x v="1"/>
    <x v="1"/>
    <x v="0"/>
    <x v="343"/>
    <n v="399"/>
    <n v="306.2"/>
    <n v="7.33"/>
    <n v="122173.8"/>
    <n v="119249.13"/>
  </r>
  <r>
    <x v="0"/>
    <x v="1"/>
    <x v="2"/>
    <x v="0"/>
    <x v="1"/>
    <x v="344"/>
    <n v="18"/>
    <n v="255.89"/>
    <n v="114.53"/>
    <n v="4606.0200000000004"/>
    <n v="2544.4799999999996"/>
  </r>
  <r>
    <x v="0"/>
    <x v="4"/>
    <x v="2"/>
    <x v="0"/>
    <x v="1"/>
    <x v="345"/>
    <n v="271"/>
    <n v="83.86"/>
    <n v="19.75"/>
    <n v="22726.06"/>
    <n v="17373.810000000001"/>
  </r>
  <r>
    <x v="1"/>
    <x v="0"/>
    <x v="4"/>
    <x v="0"/>
    <x v="0"/>
    <x v="346"/>
    <n v="82"/>
    <n v="36.24"/>
    <n v="16.440000000000001"/>
    <n v="2971.68"/>
    <n v="1623.6000000000001"/>
  </r>
  <r>
    <x v="1"/>
    <x v="0"/>
    <x v="1"/>
    <x v="0"/>
    <x v="0"/>
    <x v="347"/>
    <n v="368"/>
    <n v="63.24"/>
    <n v="111.74"/>
    <n v="23272.32"/>
    <n v="-17847.999999999996"/>
  </r>
  <r>
    <x v="1"/>
    <x v="0"/>
    <x v="0"/>
    <x v="0"/>
    <x v="1"/>
    <x v="348"/>
    <n v="232"/>
    <n v="117.54"/>
    <n v="111.69"/>
    <n v="27269.279999999999"/>
    <n v="1357.2000000000021"/>
  </r>
  <r>
    <x v="0"/>
    <x v="3"/>
    <x v="2"/>
    <x v="1"/>
    <x v="0"/>
    <x v="349"/>
    <n v="425"/>
    <n v="174.13"/>
    <n v="315.27999999999997"/>
    <n v="74005.25"/>
    <n v="-59988.74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938BF-E3E5-48B7-A2D9-2E5073B3D9B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N9" firstHeaderRow="1" firstDataRow="1" firstDataCol="1"/>
  <pivotFields count="11">
    <pivotField axis="axisRow" showAll="0">
      <items count="5">
        <item x="0"/>
        <item x="2"/>
        <item x="3"/>
        <item x="1"/>
        <item t="default"/>
      </items>
    </pivotField>
    <pivotField showAll="0"/>
    <pivotField showAll="0"/>
    <pivotField showAll="0"/>
    <pivotField showAll="0"/>
    <pivotField numFmtId="164"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Average of Profit" fld="1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B78AC-0515-499B-89B1-193584D374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1">
    <pivotField showAll="0"/>
    <pivotField axis="axisCol" showAll="0">
      <items count="5">
        <item x="0"/>
        <item x="2"/>
        <item x="3"/>
        <item x="1"/>
        <item t="default"/>
      </items>
    </pivotField>
    <pivotField showAll="0"/>
    <pivotField axis="axisRow" showAll="0">
      <items count="6">
        <item x="0"/>
        <item x="2"/>
        <item x="4"/>
        <item x="1"/>
        <item x="3"/>
        <item t="default"/>
      </items>
    </pivotField>
    <pivotField showAll="0"/>
    <pivotField showAll="0"/>
    <pivotField numFmtId="164" showAll="0"/>
    <pivotField showAll="0"/>
    <pivotField showAll="0"/>
    <pivotField showAll="0"/>
    <pivotField dataField="1" showAll="0"/>
  </pivotFields>
  <rowFields count="1">
    <field x="3"/>
  </rowFields>
  <rowItems count="6">
    <i>
      <x/>
    </i>
    <i>
      <x v="1"/>
    </i>
    <i>
      <x v="2"/>
    </i>
    <i>
      <x v="3"/>
    </i>
    <i>
      <x v="4"/>
    </i>
    <i t="grand">
      <x/>
    </i>
  </rowItems>
  <colFields count="1">
    <field x="1"/>
  </colFields>
  <colItems count="5">
    <i>
      <x/>
    </i>
    <i>
      <x v="1"/>
    </i>
    <i>
      <x v="2"/>
    </i>
    <i>
      <x v="3"/>
    </i>
    <i t="grand">
      <x/>
    </i>
  </colItems>
  <dataFields count="1">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6A2D89-51A5-4B02-8B3C-1EA897F97BA8}" name="order prior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Q7"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axis="axisRow" showAll="0">
      <items count="4">
        <item x="0"/>
        <item x="1"/>
        <item x="2"/>
        <item t="default"/>
      </items>
    </pivotField>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Items count="1">
    <i/>
  </colItems>
  <dataFields count="1">
    <dataField name="Sum of Total Revenue" fld="9"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702AE-F28B-49D1-941D-F7224C54085C}" name="month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16"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8BD920-4BFF-4D4A-9A6F-C303FAA2466E}" name="sales chann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6"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axis="axisRow" showAll="0">
      <items count="3">
        <item x="1"/>
        <item x="0"/>
        <item t="default"/>
      </items>
    </pivotField>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C734F6-58D8-41E7-BEA5-366B3AF70AE0}" name="count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9" firstHeaderRow="1" firstDataRow="1" firstDataCol="1"/>
  <pivotFields count="13">
    <pivotField showAll="0">
      <items count="5">
        <item x="0"/>
        <item x="2"/>
        <item x="3"/>
        <item x="1"/>
        <item t="default"/>
      </items>
    </pivotField>
    <pivotField axis="axisRow"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Total Revenue"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D892E4-51B1-4E14-83E0-1B9000A28819}" name="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pivotFields count="13">
    <pivotField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 Revenue" fld="9"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A260DE-3EAF-4839-8E0F-E02D2AC60A23}" name="reg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3">
    <pivotField axis="axisRow"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Items count="1">
    <i/>
  </colItems>
  <dataFields count="1">
    <dataField name="Sum of Total Revenue" fld="9" baseField="0" baseItem="0"/>
  </dataField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8419D2-439A-4D73-9102-EE1D0D7ABCA5}" sourceName="Region">
  <pivotTables>
    <pivotTable tabId="10" name="region"/>
    <pivotTable tabId="10" name="category"/>
    <pivotTable tabId="10" name="country"/>
    <pivotTable tabId="10" name="months"/>
    <pivotTable tabId="10" name="order priority"/>
    <pivotTable tabId="10" name="sales channel"/>
  </pivotTables>
  <data>
    <tabular pivotCacheId="169833778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074591-FBA8-4A05-9A7D-40364A361422}" sourceName="Country">
  <pivotTables>
    <pivotTable tabId="10" name="region"/>
    <pivotTable tabId="10" name="category"/>
    <pivotTable tabId="10" name="country"/>
    <pivotTable tabId="10" name="months"/>
    <pivotTable tabId="10" name="order priority"/>
    <pivotTable tabId="10" name="sales channel"/>
  </pivotTables>
  <data>
    <tabular pivotCacheId="1698337787">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D1EB1B-33E5-4CF2-A6D9-E4C4ACF37F86}" sourceName="Category">
  <pivotTables>
    <pivotTable tabId="10" name="region"/>
    <pivotTable tabId="10" name="category"/>
    <pivotTable tabId="10" name="country"/>
    <pivotTable tabId="10" name="months"/>
    <pivotTable tabId="10" name="order priority"/>
    <pivotTable tabId="10" name="sales channel"/>
  </pivotTables>
  <data>
    <tabular pivotCacheId="1698337787">
      <items count="5">
        <i x="0" s="1"/>
        <i x="2"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918768C-A51D-4A78-8409-8CBC71EED66D}" sourceName="Months (Order Date)">
  <pivotTables>
    <pivotTable tabId="10" name="region"/>
    <pivotTable tabId="10" name="category"/>
    <pivotTable tabId="10" name="country"/>
    <pivotTable tabId="10" name="months"/>
    <pivotTable tabId="10" name="order priority"/>
    <pivotTable tabId="10" name="sales channel"/>
  </pivotTables>
  <data>
    <tabular pivotCacheId="169833778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DCE8F34-57C0-4AB2-90EA-9B61A7B47420}" cache="Slicer_Region" caption="Region" rowHeight="234950"/>
  <slicer name="Country 1" xr10:uid="{B0B2B7F0-B5C4-428E-A1CA-39CAFF27C5F9}" cache="Slicer_Country" caption="Country" startItem="1" rowHeight="234950"/>
  <slicer name="Category 1" xr10:uid="{E9AFE4EB-D47E-4928-8954-841419B1FCCB}" cache="Slicer_Category" caption="Category" rowHeight="234950"/>
  <slicer name="Months (Order Date) 1" xr10:uid="{4BACCA0C-0024-4E73-B583-69F1AD2A7BDC}" cache="Slicer_Months__Order_Date" caption="Months (Order Date)"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A243B8-213C-4A83-AF58-1385F8F5534A}" cache="Slicer_Region" caption="Region" rowHeight="234950"/>
  <slicer name="Country" xr10:uid="{D303F44D-56E5-4983-BF57-5238D2750E03}" cache="Slicer_Country" caption="Country" rowHeight="234950"/>
  <slicer name="Category" xr10:uid="{A866BAB1-FC6D-4DF9-A92F-7327CDB175B8}" cache="Slicer_Category" caption="Category" rowHeight="234950"/>
  <slicer name="Months (Order Date)" xr10:uid="{A73E97C2-6742-4C02-9814-7C64671C4531}" cache="Slicer_Months__Order_Date" caption="Months (Order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E542-CB90-4CCA-B44E-46878836235E}">
  <dimension ref="A1:J351"/>
  <sheetViews>
    <sheetView workbookViewId="0">
      <selection activeCell="M12" sqref="M12"/>
    </sheetView>
  </sheetViews>
  <sheetFormatPr defaultRowHeight="14.25" x14ac:dyDescent="0.45"/>
  <cols>
    <col min="7" max="7" width="18.796875" customWidth="1"/>
  </cols>
  <sheetData>
    <row r="1" spans="1:10" ht="28.9" thickBot="1" x14ac:dyDescent="0.5">
      <c r="A1" s="1" t="s">
        <v>0</v>
      </c>
      <c r="B1" s="2" t="s">
        <v>1</v>
      </c>
      <c r="C1" s="2" t="s">
        <v>2</v>
      </c>
      <c r="D1" s="2" t="s">
        <v>3</v>
      </c>
      <c r="E1" s="2" t="s">
        <v>4</v>
      </c>
      <c r="F1" s="2" t="s">
        <v>5</v>
      </c>
      <c r="G1" s="2" t="s">
        <v>6</v>
      </c>
      <c r="H1" s="2" t="s">
        <v>7</v>
      </c>
      <c r="I1" s="2" t="s">
        <v>8</v>
      </c>
      <c r="J1" s="2" t="s">
        <v>9</v>
      </c>
    </row>
    <row r="2" spans="1:10" ht="14.65" thickBot="1" x14ac:dyDescent="0.5">
      <c r="A2" s="3" t="s">
        <v>10</v>
      </c>
      <c r="B2" s="3" t="s">
        <v>11</v>
      </c>
      <c r="C2" s="3" t="s">
        <v>12</v>
      </c>
      <c r="D2" s="3" t="s">
        <v>13</v>
      </c>
      <c r="E2" s="3" t="s">
        <v>14</v>
      </c>
      <c r="F2" s="3" t="s">
        <v>15</v>
      </c>
      <c r="G2" s="4">
        <v>44927</v>
      </c>
      <c r="H2" s="5">
        <v>235</v>
      </c>
      <c r="I2" s="5">
        <v>152.91999999999999</v>
      </c>
      <c r="J2" s="5">
        <v>153.6</v>
      </c>
    </row>
    <row r="3" spans="1:10" ht="14.65" thickBot="1" x14ac:dyDescent="0.5">
      <c r="A3" s="3" t="s">
        <v>16</v>
      </c>
      <c r="B3" s="3" t="s">
        <v>17</v>
      </c>
      <c r="C3" s="3" t="s">
        <v>18</v>
      </c>
      <c r="D3" s="3" t="s">
        <v>19</v>
      </c>
      <c r="E3" s="3" t="s">
        <v>14</v>
      </c>
      <c r="F3" s="3" t="s">
        <v>20</v>
      </c>
      <c r="G3" s="4">
        <v>44928</v>
      </c>
      <c r="H3" s="5">
        <v>341</v>
      </c>
      <c r="I3" s="5">
        <v>467.92</v>
      </c>
      <c r="J3" s="5">
        <v>139.84</v>
      </c>
    </row>
    <row r="4" spans="1:10" ht="14.65" thickBot="1" x14ac:dyDescent="0.5">
      <c r="A4" s="3" t="s">
        <v>21</v>
      </c>
      <c r="B4" s="3" t="s">
        <v>22</v>
      </c>
      <c r="C4" s="3" t="s">
        <v>18</v>
      </c>
      <c r="D4" s="3" t="s">
        <v>23</v>
      </c>
      <c r="E4" s="3" t="s">
        <v>24</v>
      </c>
      <c r="F4" s="3" t="s">
        <v>15</v>
      </c>
      <c r="G4" s="4">
        <v>44929</v>
      </c>
      <c r="H4" s="5">
        <v>179</v>
      </c>
      <c r="I4" s="5">
        <v>473.94</v>
      </c>
      <c r="J4" s="5">
        <v>97.14</v>
      </c>
    </row>
    <row r="5" spans="1:10" ht="14.65" thickBot="1" x14ac:dyDescent="0.5">
      <c r="A5" s="3" t="s">
        <v>25</v>
      </c>
      <c r="B5" s="3" t="s">
        <v>11</v>
      </c>
      <c r="C5" s="3" t="s">
        <v>26</v>
      </c>
      <c r="D5" s="3" t="s">
        <v>27</v>
      </c>
      <c r="E5" s="3" t="s">
        <v>24</v>
      </c>
      <c r="F5" s="3" t="s">
        <v>28</v>
      </c>
      <c r="G5" s="4">
        <v>44930</v>
      </c>
      <c r="H5" s="5">
        <v>18</v>
      </c>
      <c r="I5" s="5">
        <v>314.52999999999997</v>
      </c>
      <c r="J5" s="5">
        <v>204.87</v>
      </c>
    </row>
    <row r="6" spans="1:10" ht="14.65" thickBot="1" x14ac:dyDescent="0.5">
      <c r="A6" s="3" t="s">
        <v>29</v>
      </c>
      <c r="B6" s="3" t="s">
        <v>11</v>
      </c>
      <c r="C6" s="3" t="s">
        <v>18</v>
      </c>
      <c r="D6" s="3" t="s">
        <v>27</v>
      </c>
      <c r="E6" s="3" t="s">
        <v>24</v>
      </c>
      <c r="F6" s="3" t="s">
        <v>28</v>
      </c>
      <c r="G6" s="4">
        <v>44931</v>
      </c>
      <c r="H6" s="5">
        <v>472</v>
      </c>
      <c r="I6" s="5">
        <v>392.79</v>
      </c>
      <c r="J6" s="5">
        <v>330.46</v>
      </c>
    </row>
    <row r="7" spans="1:10" ht="14.65" thickBot="1" x14ac:dyDescent="0.5">
      <c r="A7" s="3" t="s">
        <v>30</v>
      </c>
      <c r="B7" s="3" t="s">
        <v>17</v>
      </c>
      <c r="C7" s="3" t="s">
        <v>31</v>
      </c>
      <c r="D7" s="3" t="s">
        <v>23</v>
      </c>
      <c r="E7" s="3" t="s">
        <v>14</v>
      </c>
      <c r="F7" s="3" t="s">
        <v>15</v>
      </c>
      <c r="G7" s="4">
        <v>44932</v>
      </c>
      <c r="H7" s="5">
        <v>49</v>
      </c>
      <c r="I7" s="5">
        <v>308.07</v>
      </c>
      <c r="J7" s="5">
        <v>113.32</v>
      </c>
    </row>
    <row r="8" spans="1:10" ht="14.65" thickBot="1" x14ac:dyDescent="0.5">
      <c r="A8" s="3" t="s">
        <v>32</v>
      </c>
      <c r="B8" s="3" t="s">
        <v>22</v>
      </c>
      <c r="C8" s="3" t="s">
        <v>12</v>
      </c>
      <c r="D8" s="3" t="s">
        <v>23</v>
      </c>
      <c r="E8" s="3" t="s">
        <v>14</v>
      </c>
      <c r="F8" s="3" t="s">
        <v>20</v>
      </c>
      <c r="G8" s="4">
        <v>44933</v>
      </c>
      <c r="H8" s="5">
        <v>34</v>
      </c>
      <c r="I8" s="5">
        <v>244.78</v>
      </c>
      <c r="J8" s="5">
        <v>377.07</v>
      </c>
    </row>
    <row r="9" spans="1:10" ht="14.65" thickBot="1" x14ac:dyDescent="0.5">
      <c r="A9" s="3" t="s">
        <v>33</v>
      </c>
      <c r="B9" s="3" t="s">
        <v>22</v>
      </c>
      <c r="C9" s="3" t="s">
        <v>18</v>
      </c>
      <c r="D9" s="3" t="s">
        <v>13</v>
      </c>
      <c r="E9" s="3" t="s">
        <v>14</v>
      </c>
      <c r="F9" s="3" t="s">
        <v>15</v>
      </c>
      <c r="G9" s="4">
        <v>44934</v>
      </c>
      <c r="H9" s="5">
        <v>270</v>
      </c>
      <c r="I9" s="5">
        <v>332.11</v>
      </c>
      <c r="J9" s="5">
        <v>349.59</v>
      </c>
    </row>
    <row r="10" spans="1:10" ht="14.65" thickBot="1" x14ac:dyDescent="0.5">
      <c r="A10" s="3" t="s">
        <v>34</v>
      </c>
      <c r="B10" s="3" t="s">
        <v>11</v>
      </c>
      <c r="C10" s="3" t="s">
        <v>18</v>
      </c>
      <c r="D10" s="3" t="s">
        <v>13</v>
      </c>
      <c r="E10" s="3" t="s">
        <v>14</v>
      </c>
      <c r="F10" s="3" t="s">
        <v>20</v>
      </c>
      <c r="G10" s="4">
        <v>44935</v>
      </c>
      <c r="H10" s="5">
        <v>404</v>
      </c>
      <c r="I10" s="5">
        <v>278.74</v>
      </c>
      <c r="J10" s="5">
        <v>66.38</v>
      </c>
    </row>
    <row r="11" spans="1:10" ht="14.65" thickBot="1" x14ac:dyDescent="0.5">
      <c r="A11" s="3" t="s">
        <v>35</v>
      </c>
      <c r="B11" s="3"/>
      <c r="C11" s="3" t="s">
        <v>26</v>
      </c>
      <c r="D11" s="3" t="s">
        <v>27</v>
      </c>
      <c r="E11" s="3" t="s">
        <v>14</v>
      </c>
      <c r="F11" s="3" t="s">
        <v>28</v>
      </c>
      <c r="G11" s="4">
        <v>44936</v>
      </c>
      <c r="H11" s="5">
        <v>452</v>
      </c>
      <c r="I11" s="5">
        <v>300.75</v>
      </c>
      <c r="J11" s="5">
        <v>314.94</v>
      </c>
    </row>
    <row r="12" spans="1:10" ht="14.65" thickBot="1" x14ac:dyDescent="0.5">
      <c r="A12" s="3" t="s">
        <v>36</v>
      </c>
      <c r="B12" s="3" t="s">
        <v>11</v>
      </c>
      <c r="C12" s="3" t="s">
        <v>26</v>
      </c>
      <c r="D12" s="3" t="s">
        <v>19</v>
      </c>
      <c r="E12" s="3" t="s">
        <v>14</v>
      </c>
      <c r="F12" s="3" t="s">
        <v>20</v>
      </c>
      <c r="G12" s="4">
        <v>44937</v>
      </c>
      <c r="H12" s="5">
        <v>235</v>
      </c>
      <c r="I12" s="5">
        <v>393</v>
      </c>
      <c r="J12" s="5">
        <v>230.69</v>
      </c>
    </row>
    <row r="13" spans="1:10" ht="14.65" thickBot="1" x14ac:dyDescent="0.5">
      <c r="A13" s="3" t="s">
        <v>37</v>
      </c>
      <c r="B13" s="3" t="s">
        <v>11</v>
      </c>
      <c r="C13" s="3" t="s">
        <v>31</v>
      </c>
      <c r="D13" s="3" t="s">
        <v>27</v>
      </c>
      <c r="E13" s="3" t="s">
        <v>24</v>
      </c>
      <c r="F13" s="3" t="s">
        <v>28</v>
      </c>
      <c r="G13" s="4">
        <v>44938</v>
      </c>
      <c r="H13" s="5">
        <v>481</v>
      </c>
      <c r="I13" s="5">
        <v>243.05</v>
      </c>
      <c r="J13" s="5">
        <v>227.5</v>
      </c>
    </row>
    <row r="14" spans="1:10" ht="14.65" thickBot="1" x14ac:dyDescent="0.5">
      <c r="A14" s="3" t="s">
        <v>38</v>
      </c>
      <c r="B14" s="3" t="s">
        <v>11</v>
      </c>
      <c r="C14" s="3" t="s">
        <v>12</v>
      </c>
      <c r="D14" s="3" t="s">
        <v>19</v>
      </c>
      <c r="E14" s="3" t="s">
        <v>24</v>
      </c>
      <c r="F14" s="3" t="s">
        <v>20</v>
      </c>
      <c r="G14" s="4">
        <v>44939</v>
      </c>
      <c r="H14" s="5">
        <v>133</v>
      </c>
      <c r="I14" s="5">
        <v>25.17</v>
      </c>
      <c r="J14" s="5">
        <v>157.63999999999999</v>
      </c>
    </row>
    <row r="15" spans="1:10" ht="14.65" thickBot="1" x14ac:dyDescent="0.5">
      <c r="A15" s="3" t="s">
        <v>39</v>
      </c>
      <c r="B15" s="3" t="s">
        <v>11</v>
      </c>
      <c r="C15" s="3" t="s">
        <v>26</v>
      </c>
      <c r="D15" s="3" t="s">
        <v>19</v>
      </c>
      <c r="E15" s="3" t="s">
        <v>24</v>
      </c>
      <c r="F15" s="3" t="s">
        <v>20</v>
      </c>
      <c r="G15" s="4">
        <v>44940</v>
      </c>
      <c r="H15" s="5">
        <v>472</v>
      </c>
      <c r="I15" s="5">
        <v>86.18</v>
      </c>
      <c r="J15" s="5">
        <v>201.46</v>
      </c>
    </row>
    <row r="16" spans="1:10" ht="14.65" thickBot="1" x14ac:dyDescent="0.5">
      <c r="A16" s="3" t="s">
        <v>40</v>
      </c>
      <c r="B16" s="3" t="s">
        <v>17</v>
      </c>
      <c r="C16" s="3" t="s">
        <v>18</v>
      </c>
      <c r="D16" s="3" t="s">
        <v>13</v>
      </c>
      <c r="E16" s="3" t="s">
        <v>24</v>
      </c>
      <c r="F16" s="3" t="s">
        <v>20</v>
      </c>
      <c r="G16" s="4">
        <v>44941</v>
      </c>
      <c r="H16" s="5">
        <v>47</v>
      </c>
      <c r="I16" s="5">
        <v>222.11</v>
      </c>
      <c r="J16" s="5">
        <v>160.08000000000001</v>
      </c>
    </row>
    <row r="17" spans="1:10" ht="28.9" thickBot="1" x14ac:dyDescent="0.5">
      <c r="A17" s="3" t="s">
        <v>41</v>
      </c>
      <c r="B17" s="3" t="s">
        <v>22</v>
      </c>
      <c r="C17" s="3" t="s">
        <v>12</v>
      </c>
      <c r="D17" s="3" t="s">
        <v>42</v>
      </c>
      <c r="E17" s="3" t="s">
        <v>14</v>
      </c>
      <c r="F17" s="3" t="s">
        <v>15</v>
      </c>
      <c r="G17" s="4">
        <v>44942</v>
      </c>
      <c r="H17" s="5">
        <v>337</v>
      </c>
      <c r="I17" s="5">
        <v>363.79</v>
      </c>
      <c r="J17" s="5">
        <v>216.81</v>
      </c>
    </row>
    <row r="18" spans="1:10" ht="28.9" thickBot="1" x14ac:dyDescent="0.5">
      <c r="A18" s="3" t="s">
        <v>43</v>
      </c>
      <c r="B18" s="3" t="s">
        <v>17</v>
      </c>
      <c r="C18" s="3" t="s">
        <v>12</v>
      </c>
      <c r="D18" s="3" t="s">
        <v>42</v>
      </c>
      <c r="E18" s="3" t="s">
        <v>14</v>
      </c>
      <c r="F18" s="3" t="s">
        <v>15</v>
      </c>
      <c r="G18" s="4">
        <v>44943</v>
      </c>
      <c r="H18" s="5">
        <v>260</v>
      </c>
      <c r="I18" s="5">
        <v>298.67</v>
      </c>
      <c r="J18" s="5">
        <v>251.92</v>
      </c>
    </row>
    <row r="19" spans="1:10" ht="14.65" thickBot="1" x14ac:dyDescent="0.5">
      <c r="A19" s="3" t="s">
        <v>44</v>
      </c>
      <c r="B19" s="3"/>
      <c r="C19" s="3" t="s">
        <v>18</v>
      </c>
      <c r="D19" s="3" t="s">
        <v>23</v>
      </c>
      <c r="E19" s="3" t="s">
        <v>24</v>
      </c>
      <c r="F19" s="3" t="s">
        <v>28</v>
      </c>
      <c r="G19" s="4">
        <v>44944</v>
      </c>
      <c r="H19" s="5">
        <v>398</v>
      </c>
      <c r="I19" s="5">
        <v>326.89999999999998</v>
      </c>
      <c r="J19" s="5">
        <v>270.37</v>
      </c>
    </row>
    <row r="20" spans="1:10" ht="14.65" thickBot="1" x14ac:dyDescent="0.5">
      <c r="A20" s="3" t="s">
        <v>45</v>
      </c>
      <c r="B20" s="3" t="s">
        <v>17</v>
      </c>
      <c r="C20" s="3" t="s">
        <v>26</v>
      </c>
      <c r="D20" s="3" t="s">
        <v>13</v>
      </c>
      <c r="E20" s="3" t="s">
        <v>14</v>
      </c>
      <c r="F20" s="3" t="s">
        <v>28</v>
      </c>
      <c r="G20" s="4">
        <v>44945</v>
      </c>
      <c r="H20" s="5">
        <v>185</v>
      </c>
      <c r="I20" s="5">
        <v>242.24</v>
      </c>
      <c r="J20" s="5">
        <v>213.93</v>
      </c>
    </row>
    <row r="21" spans="1:10" ht="14.65" thickBot="1" x14ac:dyDescent="0.5">
      <c r="A21" s="3" t="s">
        <v>46</v>
      </c>
      <c r="B21" s="3" t="s">
        <v>11</v>
      </c>
      <c r="C21" s="3" t="s">
        <v>18</v>
      </c>
      <c r="D21" s="3" t="s">
        <v>19</v>
      </c>
      <c r="E21" s="3" t="s">
        <v>24</v>
      </c>
      <c r="F21" s="3" t="s">
        <v>15</v>
      </c>
      <c r="G21" s="4">
        <v>44946</v>
      </c>
      <c r="H21" s="5">
        <v>99</v>
      </c>
      <c r="I21" s="5">
        <v>309.79000000000002</v>
      </c>
      <c r="J21" s="5">
        <v>289.13</v>
      </c>
    </row>
    <row r="22" spans="1:10" ht="28.9" thickBot="1" x14ac:dyDescent="0.5">
      <c r="A22" s="3" t="s">
        <v>47</v>
      </c>
      <c r="B22" s="3" t="s">
        <v>48</v>
      </c>
      <c r="C22" s="3" t="s">
        <v>12</v>
      </c>
      <c r="D22" s="3" t="s">
        <v>42</v>
      </c>
      <c r="E22" s="3" t="s">
        <v>24</v>
      </c>
      <c r="F22" s="3" t="s">
        <v>28</v>
      </c>
      <c r="G22" s="4">
        <v>44947</v>
      </c>
      <c r="H22" s="5">
        <v>411</v>
      </c>
      <c r="I22" s="5">
        <v>167.86</v>
      </c>
      <c r="J22" s="5">
        <v>58.23</v>
      </c>
    </row>
    <row r="23" spans="1:10" ht="14.65" thickBot="1" x14ac:dyDescent="0.5">
      <c r="A23" s="3" t="s">
        <v>49</v>
      </c>
      <c r="B23" s="3" t="s">
        <v>22</v>
      </c>
      <c r="C23" s="3" t="s">
        <v>50</v>
      </c>
      <c r="D23" s="3" t="s">
        <v>19</v>
      </c>
      <c r="E23" s="3" t="s">
        <v>24</v>
      </c>
      <c r="F23" s="3" t="s">
        <v>15</v>
      </c>
      <c r="G23" s="4">
        <v>44948</v>
      </c>
      <c r="H23" s="5">
        <v>463</v>
      </c>
      <c r="I23" s="5">
        <v>237.74</v>
      </c>
      <c r="J23" s="5">
        <v>86.37</v>
      </c>
    </row>
    <row r="24" spans="1:10" ht="28.9" thickBot="1" x14ac:dyDescent="0.5">
      <c r="A24" s="3" t="s">
        <v>51</v>
      </c>
      <c r="B24" s="3" t="s">
        <v>48</v>
      </c>
      <c r="C24" s="3" t="s">
        <v>50</v>
      </c>
      <c r="D24" s="3" t="s">
        <v>42</v>
      </c>
      <c r="E24" s="3" t="s">
        <v>14</v>
      </c>
      <c r="F24" s="3" t="s">
        <v>20</v>
      </c>
      <c r="G24" s="4">
        <v>44949</v>
      </c>
      <c r="H24" s="5">
        <v>46</v>
      </c>
      <c r="I24" s="5">
        <v>373.42</v>
      </c>
      <c r="J24" s="5">
        <v>327.86</v>
      </c>
    </row>
    <row r="25" spans="1:10" ht="28.9" thickBot="1" x14ac:dyDescent="0.5">
      <c r="A25" s="3" t="s">
        <v>52</v>
      </c>
      <c r="B25" s="3" t="s">
        <v>17</v>
      </c>
      <c r="C25" s="3" t="s">
        <v>31</v>
      </c>
      <c r="D25" s="3" t="s">
        <v>42</v>
      </c>
      <c r="E25" s="3" t="s">
        <v>24</v>
      </c>
      <c r="F25" s="3" t="s">
        <v>28</v>
      </c>
      <c r="G25" s="4">
        <v>44950</v>
      </c>
      <c r="H25" s="5">
        <v>325</v>
      </c>
      <c r="I25" s="5">
        <v>436.56</v>
      </c>
      <c r="J25" s="5">
        <v>130.37</v>
      </c>
    </row>
    <row r="26" spans="1:10" ht="14.65" thickBot="1" x14ac:dyDescent="0.5">
      <c r="A26" s="3" t="s">
        <v>53</v>
      </c>
      <c r="B26" s="3" t="s">
        <v>17</v>
      </c>
      <c r="C26" s="3" t="s">
        <v>18</v>
      </c>
      <c r="D26" s="3"/>
      <c r="E26" s="3" t="s">
        <v>24</v>
      </c>
      <c r="F26" s="3" t="s">
        <v>28</v>
      </c>
      <c r="G26" s="4">
        <v>44951</v>
      </c>
      <c r="H26" s="5">
        <v>185</v>
      </c>
      <c r="I26" s="5">
        <v>219.66</v>
      </c>
      <c r="J26" s="5">
        <v>11.11</v>
      </c>
    </row>
    <row r="27" spans="1:10" ht="14.65" thickBot="1" x14ac:dyDescent="0.5">
      <c r="A27" s="3" t="s">
        <v>54</v>
      </c>
      <c r="B27" s="3" t="s">
        <v>48</v>
      </c>
      <c r="C27" s="3" t="s">
        <v>18</v>
      </c>
      <c r="D27" s="3" t="s">
        <v>13</v>
      </c>
      <c r="E27" s="3" t="s">
        <v>24</v>
      </c>
      <c r="F27" s="3" t="s">
        <v>15</v>
      </c>
      <c r="G27" s="4">
        <v>44952</v>
      </c>
      <c r="H27" s="5">
        <v>470</v>
      </c>
      <c r="I27" s="5">
        <v>26.61</v>
      </c>
      <c r="J27" s="5">
        <v>63.21</v>
      </c>
    </row>
    <row r="28" spans="1:10" ht="14.65" thickBot="1" x14ac:dyDescent="0.5">
      <c r="A28" s="3" t="s">
        <v>55</v>
      </c>
      <c r="B28" s="3" t="s">
        <v>48</v>
      </c>
      <c r="C28" s="3" t="s">
        <v>31</v>
      </c>
      <c r="D28" s="3" t="s">
        <v>27</v>
      </c>
      <c r="E28" s="3" t="s">
        <v>14</v>
      </c>
      <c r="F28" s="3" t="s">
        <v>28</v>
      </c>
      <c r="G28" s="4">
        <v>44953</v>
      </c>
      <c r="H28" s="5">
        <v>293</v>
      </c>
      <c r="I28" s="5">
        <v>85.03</v>
      </c>
      <c r="J28" s="5">
        <v>91</v>
      </c>
    </row>
    <row r="29" spans="1:10" ht="14.65" thickBot="1" x14ac:dyDescent="0.5">
      <c r="A29" s="3" t="s">
        <v>56</v>
      </c>
      <c r="B29" s="3" t="s">
        <v>48</v>
      </c>
      <c r="C29" s="3" t="s">
        <v>31</v>
      </c>
      <c r="D29" s="3" t="s">
        <v>19</v>
      </c>
      <c r="E29" s="3" t="s">
        <v>14</v>
      </c>
      <c r="F29" s="3" t="s">
        <v>28</v>
      </c>
      <c r="G29" s="4">
        <v>44954</v>
      </c>
      <c r="H29" s="5">
        <v>462</v>
      </c>
      <c r="I29" s="3"/>
      <c r="J29" s="5">
        <v>383.01</v>
      </c>
    </row>
    <row r="30" spans="1:10" ht="14.65" thickBot="1" x14ac:dyDescent="0.5">
      <c r="A30" s="3" t="s">
        <v>57</v>
      </c>
      <c r="B30" s="3" t="s">
        <v>17</v>
      </c>
      <c r="C30" s="3" t="s">
        <v>31</v>
      </c>
      <c r="D30" s="3" t="s">
        <v>13</v>
      </c>
      <c r="E30" s="3" t="s">
        <v>24</v>
      </c>
      <c r="F30" s="3" t="s">
        <v>20</v>
      </c>
      <c r="G30" s="4">
        <v>44955</v>
      </c>
      <c r="H30" s="5">
        <v>470</v>
      </c>
      <c r="I30" s="5">
        <v>328.37</v>
      </c>
      <c r="J30" s="5">
        <v>230.07</v>
      </c>
    </row>
    <row r="31" spans="1:10" ht="14.65" thickBot="1" x14ac:dyDescent="0.5">
      <c r="A31" s="3" t="s">
        <v>58</v>
      </c>
      <c r="B31" s="3" t="s">
        <v>17</v>
      </c>
      <c r="C31" s="3" t="s">
        <v>12</v>
      </c>
      <c r="D31" s="3" t="s">
        <v>13</v>
      </c>
      <c r="E31" s="3" t="s">
        <v>14</v>
      </c>
      <c r="F31" s="3" t="s">
        <v>28</v>
      </c>
      <c r="G31" s="4">
        <v>44956</v>
      </c>
      <c r="H31" s="5">
        <v>90</v>
      </c>
      <c r="I31" s="5">
        <v>169.5</v>
      </c>
      <c r="J31" s="5">
        <v>373.23</v>
      </c>
    </row>
    <row r="32" spans="1:10" ht="14.65" thickBot="1" x14ac:dyDescent="0.5">
      <c r="A32" s="3" t="s">
        <v>59</v>
      </c>
      <c r="B32" s="3"/>
      <c r="C32" s="3" t="s">
        <v>18</v>
      </c>
      <c r="D32" s="3" t="s">
        <v>13</v>
      </c>
      <c r="E32" s="3" t="s">
        <v>14</v>
      </c>
      <c r="F32" s="3" t="s">
        <v>20</v>
      </c>
      <c r="G32" s="4">
        <v>44957</v>
      </c>
      <c r="H32" s="5">
        <v>123</v>
      </c>
      <c r="I32" s="5">
        <v>273.52999999999997</v>
      </c>
      <c r="J32" s="5">
        <v>230.92</v>
      </c>
    </row>
    <row r="33" spans="1:10" ht="14.65" thickBot="1" x14ac:dyDescent="0.5">
      <c r="A33" s="3" t="s">
        <v>60</v>
      </c>
      <c r="B33" s="3" t="s">
        <v>22</v>
      </c>
      <c r="C33" s="3" t="s">
        <v>12</v>
      </c>
      <c r="D33" s="3" t="s">
        <v>13</v>
      </c>
      <c r="E33" s="3" t="s">
        <v>14</v>
      </c>
      <c r="F33" s="3" t="s">
        <v>15</v>
      </c>
      <c r="G33" s="4">
        <v>44958</v>
      </c>
      <c r="H33" s="5">
        <v>49</v>
      </c>
      <c r="I33" s="5">
        <v>249.17</v>
      </c>
      <c r="J33" s="5">
        <v>192.78</v>
      </c>
    </row>
    <row r="34" spans="1:10" ht="14.65" thickBot="1" x14ac:dyDescent="0.5">
      <c r="A34" s="3" t="s">
        <v>61</v>
      </c>
      <c r="B34" s="3" t="s">
        <v>17</v>
      </c>
      <c r="C34" s="3" t="s">
        <v>31</v>
      </c>
      <c r="D34" s="3" t="s">
        <v>13</v>
      </c>
      <c r="E34" s="3" t="s">
        <v>14</v>
      </c>
      <c r="F34" s="3" t="s">
        <v>28</v>
      </c>
      <c r="G34" s="4">
        <v>44959</v>
      </c>
      <c r="H34" s="5">
        <v>310</v>
      </c>
      <c r="I34" s="5">
        <v>45.36</v>
      </c>
      <c r="J34" s="5">
        <v>126.86</v>
      </c>
    </row>
    <row r="35" spans="1:10" ht="14.65" thickBot="1" x14ac:dyDescent="0.5">
      <c r="A35" s="3" t="s">
        <v>62</v>
      </c>
      <c r="B35" s="3" t="s">
        <v>48</v>
      </c>
      <c r="C35" s="3" t="s">
        <v>18</v>
      </c>
      <c r="D35" s="3" t="s">
        <v>23</v>
      </c>
      <c r="E35" s="3" t="s">
        <v>14</v>
      </c>
      <c r="F35" s="3" t="s">
        <v>20</v>
      </c>
      <c r="G35" s="4">
        <v>44960</v>
      </c>
      <c r="H35" s="5">
        <v>233</v>
      </c>
      <c r="I35" s="5">
        <v>204.61</v>
      </c>
      <c r="J35" s="5">
        <v>243.34</v>
      </c>
    </row>
    <row r="36" spans="1:10" ht="14.65" thickBot="1" x14ac:dyDescent="0.5">
      <c r="A36" s="3" t="s">
        <v>63</v>
      </c>
      <c r="B36" s="3" t="s">
        <v>48</v>
      </c>
      <c r="C36" s="3" t="s">
        <v>12</v>
      </c>
      <c r="D36" s="3" t="s">
        <v>19</v>
      </c>
      <c r="E36" s="3" t="s">
        <v>14</v>
      </c>
      <c r="F36" s="3" t="s">
        <v>15</v>
      </c>
      <c r="G36" s="4">
        <v>44961</v>
      </c>
      <c r="H36" s="5">
        <v>327</v>
      </c>
      <c r="I36" s="5">
        <v>114.18</v>
      </c>
      <c r="J36" s="5">
        <v>57.4</v>
      </c>
    </row>
    <row r="37" spans="1:10" ht="14.65" thickBot="1" x14ac:dyDescent="0.5">
      <c r="A37" s="3" t="s">
        <v>64</v>
      </c>
      <c r="B37" s="3" t="s">
        <v>22</v>
      </c>
      <c r="C37" s="3" t="s">
        <v>12</v>
      </c>
      <c r="D37" s="3" t="s">
        <v>13</v>
      </c>
      <c r="E37" s="3" t="s">
        <v>14</v>
      </c>
      <c r="F37" s="3" t="s">
        <v>28</v>
      </c>
      <c r="G37" s="4">
        <v>44962</v>
      </c>
      <c r="H37" s="5">
        <v>358</v>
      </c>
      <c r="I37" s="5">
        <v>212.11</v>
      </c>
      <c r="J37" s="5">
        <v>359.51</v>
      </c>
    </row>
    <row r="38" spans="1:10" ht="14.65" thickBot="1" x14ac:dyDescent="0.5">
      <c r="A38" s="3" t="s">
        <v>65</v>
      </c>
      <c r="B38" s="3" t="s">
        <v>17</v>
      </c>
      <c r="C38" s="3" t="s">
        <v>31</v>
      </c>
      <c r="D38" s="3" t="s">
        <v>19</v>
      </c>
      <c r="E38" s="3" t="s">
        <v>14</v>
      </c>
      <c r="F38" s="3" t="s">
        <v>15</v>
      </c>
      <c r="G38" s="4">
        <v>44963</v>
      </c>
      <c r="H38" s="5">
        <v>124</v>
      </c>
      <c r="I38" s="3"/>
      <c r="J38" s="5">
        <v>332.07</v>
      </c>
    </row>
    <row r="39" spans="1:10" ht="14.65" thickBot="1" x14ac:dyDescent="0.5">
      <c r="A39" s="3" t="s">
        <v>66</v>
      </c>
      <c r="B39" s="3" t="s">
        <v>22</v>
      </c>
      <c r="C39" s="3" t="s">
        <v>18</v>
      </c>
      <c r="D39" s="3" t="s">
        <v>23</v>
      </c>
      <c r="E39" s="3" t="s">
        <v>14</v>
      </c>
      <c r="F39" s="3" t="s">
        <v>28</v>
      </c>
      <c r="G39" s="4">
        <v>44964</v>
      </c>
      <c r="H39" s="5">
        <v>195</v>
      </c>
      <c r="I39" s="5">
        <v>421.02</v>
      </c>
      <c r="J39" s="5">
        <v>128.38</v>
      </c>
    </row>
    <row r="40" spans="1:10" ht="14.65" thickBot="1" x14ac:dyDescent="0.5">
      <c r="A40" s="3" t="s">
        <v>67</v>
      </c>
      <c r="B40" s="3" t="s">
        <v>22</v>
      </c>
      <c r="C40" s="3" t="s">
        <v>31</v>
      </c>
      <c r="D40" s="3" t="s">
        <v>23</v>
      </c>
      <c r="E40" s="3" t="s">
        <v>14</v>
      </c>
      <c r="F40" s="3" t="s">
        <v>15</v>
      </c>
      <c r="G40" s="4">
        <v>44965</v>
      </c>
      <c r="H40" s="3"/>
      <c r="I40" s="5">
        <v>91.23</v>
      </c>
      <c r="J40" s="5">
        <v>381.21</v>
      </c>
    </row>
    <row r="41" spans="1:10" ht="14.65" thickBot="1" x14ac:dyDescent="0.5">
      <c r="A41" s="3" t="s">
        <v>68</v>
      </c>
      <c r="B41" s="3" t="s">
        <v>11</v>
      </c>
      <c r="C41" s="3" t="s">
        <v>18</v>
      </c>
      <c r="D41" s="3" t="s">
        <v>19</v>
      </c>
      <c r="E41" s="3" t="s">
        <v>24</v>
      </c>
      <c r="F41" s="3" t="s">
        <v>15</v>
      </c>
      <c r="G41" s="4">
        <v>44966</v>
      </c>
      <c r="H41" s="5">
        <v>65</v>
      </c>
      <c r="I41" s="5">
        <v>480.59</v>
      </c>
      <c r="J41" s="5">
        <v>330.43</v>
      </c>
    </row>
    <row r="42" spans="1:10" ht="28.9" thickBot="1" x14ac:dyDescent="0.5">
      <c r="A42" s="3" t="s">
        <v>69</v>
      </c>
      <c r="B42" s="3" t="s">
        <v>11</v>
      </c>
      <c r="C42" s="3" t="s">
        <v>50</v>
      </c>
      <c r="D42" s="3" t="s">
        <v>42</v>
      </c>
      <c r="E42" s="3" t="s">
        <v>24</v>
      </c>
      <c r="F42" s="3" t="s">
        <v>20</v>
      </c>
      <c r="G42" s="4">
        <v>44967</v>
      </c>
      <c r="H42" s="5">
        <v>49</v>
      </c>
      <c r="I42" s="5">
        <v>210.87</v>
      </c>
      <c r="J42" s="5">
        <v>267.19</v>
      </c>
    </row>
    <row r="43" spans="1:10" ht="14.65" thickBot="1" x14ac:dyDescent="0.5">
      <c r="A43" s="3" t="s">
        <v>70</v>
      </c>
      <c r="B43" s="3" t="s">
        <v>11</v>
      </c>
      <c r="C43" s="3" t="s">
        <v>26</v>
      </c>
      <c r="D43" s="3" t="s">
        <v>27</v>
      </c>
      <c r="E43" s="3" t="s">
        <v>14</v>
      </c>
      <c r="F43" s="3" t="s">
        <v>15</v>
      </c>
      <c r="G43" s="4">
        <v>44968</v>
      </c>
      <c r="H43" s="5">
        <v>363</v>
      </c>
      <c r="I43" s="5">
        <v>423.89</v>
      </c>
      <c r="J43" s="5">
        <v>50.46</v>
      </c>
    </row>
    <row r="44" spans="1:10" ht="28.9" thickBot="1" x14ac:dyDescent="0.5">
      <c r="A44" s="3" t="s">
        <v>71</v>
      </c>
      <c r="B44" s="3" t="s">
        <v>48</v>
      </c>
      <c r="C44" s="3" t="s">
        <v>26</v>
      </c>
      <c r="D44" s="3" t="s">
        <v>42</v>
      </c>
      <c r="E44" s="3" t="s">
        <v>24</v>
      </c>
      <c r="F44" s="3" t="s">
        <v>28</v>
      </c>
      <c r="G44" s="4">
        <v>44969</v>
      </c>
      <c r="H44" s="5">
        <v>49</v>
      </c>
      <c r="I44" s="5">
        <v>316.24</v>
      </c>
      <c r="J44" s="5">
        <v>192.34</v>
      </c>
    </row>
    <row r="45" spans="1:10" ht="28.9" thickBot="1" x14ac:dyDescent="0.5">
      <c r="A45" s="3" t="s">
        <v>72</v>
      </c>
      <c r="B45" s="3" t="s">
        <v>17</v>
      </c>
      <c r="C45" s="3" t="s">
        <v>26</v>
      </c>
      <c r="D45" s="3" t="s">
        <v>42</v>
      </c>
      <c r="E45" s="3" t="s">
        <v>24</v>
      </c>
      <c r="F45" s="3" t="s">
        <v>28</v>
      </c>
      <c r="G45" s="4">
        <v>44970</v>
      </c>
      <c r="H45" s="5">
        <v>356</v>
      </c>
      <c r="I45" s="5">
        <v>369</v>
      </c>
      <c r="J45" s="5">
        <v>203.43</v>
      </c>
    </row>
    <row r="46" spans="1:10" ht="28.9" thickBot="1" x14ac:dyDescent="0.5">
      <c r="A46" s="3" t="s">
        <v>73</v>
      </c>
      <c r="B46" s="3" t="s">
        <v>17</v>
      </c>
      <c r="C46" s="3" t="s">
        <v>31</v>
      </c>
      <c r="D46" s="3" t="s">
        <v>42</v>
      </c>
      <c r="E46" s="3" t="s">
        <v>14</v>
      </c>
      <c r="F46" s="3" t="s">
        <v>20</v>
      </c>
      <c r="G46" s="4">
        <v>44971</v>
      </c>
      <c r="H46" s="5">
        <v>470</v>
      </c>
      <c r="I46" s="3"/>
      <c r="J46" s="5">
        <v>94.56</v>
      </c>
    </row>
    <row r="47" spans="1:10" ht="14.65" thickBot="1" x14ac:dyDescent="0.5">
      <c r="A47" s="3" t="s">
        <v>74</v>
      </c>
      <c r="B47" s="3" t="s">
        <v>17</v>
      </c>
      <c r="C47" s="3" t="s">
        <v>50</v>
      </c>
      <c r="D47" s="3" t="s">
        <v>13</v>
      </c>
      <c r="E47" s="3" t="s">
        <v>14</v>
      </c>
      <c r="F47" s="3" t="s">
        <v>28</v>
      </c>
      <c r="G47" s="4">
        <v>44972</v>
      </c>
      <c r="H47" s="5">
        <v>246</v>
      </c>
      <c r="I47" s="5">
        <v>254.9</v>
      </c>
      <c r="J47" s="5">
        <v>33.83</v>
      </c>
    </row>
    <row r="48" spans="1:10" ht="14.65" thickBot="1" x14ac:dyDescent="0.5">
      <c r="A48" s="3" t="s">
        <v>75</v>
      </c>
      <c r="B48" s="3" t="s">
        <v>17</v>
      </c>
      <c r="C48" s="3" t="s">
        <v>18</v>
      </c>
      <c r="D48" s="3" t="s">
        <v>23</v>
      </c>
      <c r="E48" s="3" t="s">
        <v>14</v>
      </c>
      <c r="F48" s="3" t="s">
        <v>28</v>
      </c>
      <c r="G48" s="4">
        <v>44973</v>
      </c>
      <c r="H48" s="5">
        <v>298</v>
      </c>
      <c r="I48" s="5">
        <v>273.93</v>
      </c>
      <c r="J48" s="5">
        <v>311.14</v>
      </c>
    </row>
    <row r="49" spans="1:10" ht="28.9" thickBot="1" x14ac:dyDescent="0.5">
      <c r="A49" s="3" t="s">
        <v>76</v>
      </c>
      <c r="B49" s="3" t="s">
        <v>11</v>
      </c>
      <c r="C49" s="3" t="s">
        <v>12</v>
      </c>
      <c r="D49" s="3" t="s">
        <v>42</v>
      </c>
      <c r="E49" s="3" t="s">
        <v>24</v>
      </c>
      <c r="F49" s="3" t="s">
        <v>28</v>
      </c>
      <c r="G49" s="4">
        <v>44974</v>
      </c>
      <c r="H49" s="5">
        <v>271</v>
      </c>
      <c r="I49" s="5">
        <v>259.43</v>
      </c>
      <c r="J49" s="5">
        <v>50.57</v>
      </c>
    </row>
    <row r="50" spans="1:10" ht="14.65" thickBot="1" x14ac:dyDescent="0.5">
      <c r="A50" s="3" t="s">
        <v>77</v>
      </c>
      <c r="B50" s="3" t="s">
        <v>48</v>
      </c>
      <c r="C50" s="3" t="s">
        <v>18</v>
      </c>
      <c r="D50" s="3" t="s">
        <v>23</v>
      </c>
      <c r="E50" s="3" t="s">
        <v>24</v>
      </c>
      <c r="F50" s="3" t="s">
        <v>15</v>
      </c>
      <c r="G50" s="4">
        <v>44975</v>
      </c>
      <c r="H50" s="5">
        <v>225</v>
      </c>
      <c r="I50" s="5">
        <v>296.08999999999997</v>
      </c>
      <c r="J50" s="5">
        <v>238.53</v>
      </c>
    </row>
    <row r="51" spans="1:10" ht="14.65" thickBot="1" x14ac:dyDescent="0.5">
      <c r="A51" s="3" t="s">
        <v>78</v>
      </c>
      <c r="B51" s="3"/>
      <c r="C51" s="3" t="s">
        <v>12</v>
      </c>
      <c r="D51" s="3" t="s">
        <v>19</v>
      </c>
      <c r="E51" s="3" t="s">
        <v>14</v>
      </c>
      <c r="F51" s="3" t="s">
        <v>15</v>
      </c>
      <c r="G51" s="4">
        <v>44976</v>
      </c>
      <c r="H51" s="5">
        <v>156</v>
      </c>
      <c r="I51" s="5">
        <v>19.55</v>
      </c>
      <c r="J51" s="5">
        <v>374.71</v>
      </c>
    </row>
    <row r="52" spans="1:10" ht="14.65" thickBot="1" x14ac:dyDescent="0.5">
      <c r="A52" s="3" t="s">
        <v>79</v>
      </c>
      <c r="B52" s="3" t="s">
        <v>11</v>
      </c>
      <c r="C52" s="3" t="s">
        <v>18</v>
      </c>
      <c r="D52" s="3" t="s">
        <v>27</v>
      </c>
      <c r="E52" s="3" t="s">
        <v>14</v>
      </c>
      <c r="F52" s="3" t="s">
        <v>28</v>
      </c>
      <c r="G52" s="4">
        <v>44977</v>
      </c>
      <c r="H52" s="5">
        <v>345</v>
      </c>
      <c r="I52" s="5">
        <v>200.78</v>
      </c>
      <c r="J52" s="5">
        <v>350.69</v>
      </c>
    </row>
    <row r="53" spans="1:10" ht="14.65" thickBot="1" x14ac:dyDescent="0.5">
      <c r="A53" s="3" t="s">
        <v>80</v>
      </c>
      <c r="B53" s="3" t="s">
        <v>48</v>
      </c>
      <c r="C53" s="3" t="s">
        <v>50</v>
      </c>
      <c r="D53" s="3" t="s">
        <v>19</v>
      </c>
      <c r="E53" s="3" t="s">
        <v>14</v>
      </c>
      <c r="F53" s="3" t="s">
        <v>20</v>
      </c>
      <c r="G53" s="4">
        <v>44978</v>
      </c>
      <c r="H53" s="5">
        <v>177</v>
      </c>
      <c r="I53" s="5">
        <v>305.06</v>
      </c>
      <c r="J53" s="5">
        <v>112.55</v>
      </c>
    </row>
    <row r="54" spans="1:10" ht="14.65" thickBot="1" x14ac:dyDescent="0.5">
      <c r="A54" s="3" t="s">
        <v>81</v>
      </c>
      <c r="B54" s="3" t="s">
        <v>11</v>
      </c>
      <c r="C54" s="3" t="s">
        <v>12</v>
      </c>
      <c r="D54" s="3" t="s">
        <v>19</v>
      </c>
      <c r="E54" s="3" t="s">
        <v>24</v>
      </c>
      <c r="F54" s="3" t="s">
        <v>15</v>
      </c>
      <c r="G54" s="4">
        <v>44979</v>
      </c>
      <c r="H54" s="5">
        <v>101</v>
      </c>
      <c r="I54" s="5">
        <v>300.87</v>
      </c>
      <c r="J54" s="5">
        <v>340.88</v>
      </c>
    </row>
    <row r="55" spans="1:10" ht="14.65" thickBot="1" x14ac:dyDescent="0.5">
      <c r="A55" s="3" t="s">
        <v>82</v>
      </c>
      <c r="B55" s="3" t="s">
        <v>17</v>
      </c>
      <c r="C55" s="3" t="s">
        <v>31</v>
      </c>
      <c r="D55" s="3" t="s">
        <v>13</v>
      </c>
      <c r="E55" s="3" t="s">
        <v>24</v>
      </c>
      <c r="F55" s="3" t="s">
        <v>20</v>
      </c>
      <c r="G55" s="4">
        <v>44980</v>
      </c>
      <c r="H55" s="5">
        <v>362</v>
      </c>
      <c r="I55" s="5">
        <v>397.51</v>
      </c>
      <c r="J55" s="5">
        <v>2.13</v>
      </c>
    </row>
    <row r="56" spans="1:10" ht="14.65" thickBot="1" x14ac:dyDescent="0.5">
      <c r="A56" s="3" t="s">
        <v>83</v>
      </c>
      <c r="B56" s="3" t="s">
        <v>11</v>
      </c>
      <c r="C56" s="3" t="s">
        <v>18</v>
      </c>
      <c r="D56" s="3" t="s">
        <v>27</v>
      </c>
      <c r="E56" s="3" t="s">
        <v>24</v>
      </c>
      <c r="F56" s="3" t="s">
        <v>28</v>
      </c>
      <c r="G56" s="4">
        <v>44981</v>
      </c>
      <c r="H56" s="5">
        <v>68</v>
      </c>
      <c r="I56" s="5">
        <v>329.23</v>
      </c>
      <c r="J56" s="5">
        <v>9.0399999999999991</v>
      </c>
    </row>
    <row r="57" spans="1:10" ht="14.65" thickBot="1" x14ac:dyDescent="0.5">
      <c r="A57" s="3" t="s">
        <v>84</v>
      </c>
      <c r="B57" s="3" t="s">
        <v>17</v>
      </c>
      <c r="C57" s="3" t="s">
        <v>18</v>
      </c>
      <c r="D57" s="3" t="s">
        <v>19</v>
      </c>
      <c r="E57" s="3" t="s">
        <v>24</v>
      </c>
      <c r="F57" s="3" t="s">
        <v>28</v>
      </c>
      <c r="G57" s="4">
        <v>44982</v>
      </c>
      <c r="H57" s="5">
        <v>68</v>
      </c>
      <c r="I57" s="5">
        <v>496.11</v>
      </c>
      <c r="J57" s="5">
        <v>241.82</v>
      </c>
    </row>
    <row r="58" spans="1:10" ht="14.65" thickBot="1" x14ac:dyDescent="0.5">
      <c r="A58" s="3" t="s">
        <v>85</v>
      </c>
      <c r="B58" s="3" t="s">
        <v>17</v>
      </c>
      <c r="C58" s="3" t="s">
        <v>12</v>
      </c>
      <c r="D58" s="3" t="s">
        <v>19</v>
      </c>
      <c r="E58" s="3" t="s">
        <v>14</v>
      </c>
      <c r="F58" s="3" t="s">
        <v>15</v>
      </c>
      <c r="G58" s="4">
        <v>44983</v>
      </c>
      <c r="H58" s="5">
        <v>313</v>
      </c>
      <c r="I58" s="5">
        <v>145.51</v>
      </c>
      <c r="J58" s="5">
        <v>147.19</v>
      </c>
    </row>
    <row r="59" spans="1:10" ht="14.65" thickBot="1" x14ac:dyDescent="0.5">
      <c r="A59" s="3" t="s">
        <v>86</v>
      </c>
      <c r="B59" s="3" t="s">
        <v>22</v>
      </c>
      <c r="C59" s="3" t="s">
        <v>31</v>
      </c>
      <c r="D59" s="3" t="s">
        <v>27</v>
      </c>
      <c r="E59" s="3" t="s">
        <v>14</v>
      </c>
      <c r="F59" s="3" t="s">
        <v>28</v>
      </c>
      <c r="G59" s="4">
        <v>44984</v>
      </c>
      <c r="H59" s="5">
        <v>178</v>
      </c>
      <c r="I59" s="5">
        <v>182.78</v>
      </c>
      <c r="J59" s="5">
        <v>155.81</v>
      </c>
    </row>
    <row r="60" spans="1:10" ht="14.65" thickBot="1" x14ac:dyDescent="0.5">
      <c r="A60" s="3" t="s">
        <v>87</v>
      </c>
      <c r="B60" s="3" t="s">
        <v>11</v>
      </c>
      <c r="C60" s="3" t="s">
        <v>31</v>
      </c>
      <c r="D60" s="3" t="s">
        <v>27</v>
      </c>
      <c r="E60" s="3" t="s">
        <v>14</v>
      </c>
      <c r="F60" s="3" t="s">
        <v>15</v>
      </c>
      <c r="G60" s="4">
        <v>44985</v>
      </c>
      <c r="H60" s="5">
        <v>278</v>
      </c>
      <c r="I60" s="5">
        <v>195</v>
      </c>
      <c r="J60" s="5">
        <v>226.65</v>
      </c>
    </row>
    <row r="61" spans="1:10" ht="14.65" thickBot="1" x14ac:dyDescent="0.5">
      <c r="A61" s="3" t="s">
        <v>88</v>
      </c>
      <c r="B61" s="3" t="s">
        <v>22</v>
      </c>
      <c r="C61" s="3" t="s">
        <v>50</v>
      </c>
      <c r="D61" s="3" t="s">
        <v>19</v>
      </c>
      <c r="E61" s="3" t="s">
        <v>14</v>
      </c>
      <c r="F61" s="3" t="s">
        <v>28</v>
      </c>
      <c r="G61" s="4">
        <v>44986</v>
      </c>
      <c r="H61" s="5">
        <v>372</v>
      </c>
      <c r="I61" s="5">
        <v>235.58</v>
      </c>
      <c r="J61" s="5">
        <v>78.33</v>
      </c>
    </row>
    <row r="62" spans="1:10" ht="14.65" thickBot="1" x14ac:dyDescent="0.5">
      <c r="A62" s="3" t="s">
        <v>89</v>
      </c>
      <c r="B62" s="3" t="s">
        <v>11</v>
      </c>
      <c r="C62" s="3" t="s">
        <v>31</v>
      </c>
      <c r="D62" s="3" t="s">
        <v>27</v>
      </c>
      <c r="E62" s="3" t="s">
        <v>24</v>
      </c>
      <c r="F62" s="3" t="s">
        <v>28</v>
      </c>
      <c r="G62" s="4">
        <v>44987</v>
      </c>
      <c r="H62" s="5">
        <v>54</v>
      </c>
      <c r="I62" s="5">
        <v>418.82</v>
      </c>
      <c r="J62" s="5">
        <v>86.28</v>
      </c>
    </row>
    <row r="63" spans="1:10" ht="14.65" thickBot="1" x14ac:dyDescent="0.5">
      <c r="A63" s="3" t="s">
        <v>90</v>
      </c>
      <c r="B63" s="3" t="s">
        <v>11</v>
      </c>
      <c r="C63" s="3" t="s">
        <v>31</v>
      </c>
      <c r="D63" s="3" t="s">
        <v>19</v>
      </c>
      <c r="E63" s="3" t="s">
        <v>24</v>
      </c>
      <c r="F63" s="3" t="s">
        <v>15</v>
      </c>
      <c r="G63" s="4">
        <v>44988</v>
      </c>
      <c r="H63" s="5">
        <v>354</v>
      </c>
      <c r="I63" s="5">
        <v>121.72</v>
      </c>
      <c r="J63" s="5">
        <v>194.87</v>
      </c>
    </row>
    <row r="64" spans="1:10" ht="14.65" thickBot="1" x14ac:dyDescent="0.5">
      <c r="A64" s="3" t="s">
        <v>91</v>
      </c>
      <c r="B64" s="3" t="s">
        <v>22</v>
      </c>
      <c r="C64" s="3" t="s">
        <v>31</v>
      </c>
      <c r="D64" s="3" t="s">
        <v>19</v>
      </c>
      <c r="E64" s="3" t="s">
        <v>14</v>
      </c>
      <c r="F64" s="3" t="s">
        <v>15</v>
      </c>
      <c r="G64" s="4">
        <v>44989</v>
      </c>
      <c r="H64" s="5">
        <v>190</v>
      </c>
      <c r="I64" s="5">
        <v>389.12</v>
      </c>
      <c r="J64" s="5">
        <v>302.19</v>
      </c>
    </row>
    <row r="65" spans="1:10" ht="14.65" thickBot="1" x14ac:dyDescent="0.5">
      <c r="A65" s="3" t="s">
        <v>92</v>
      </c>
      <c r="B65" s="3"/>
      <c r="C65" s="3" t="s">
        <v>26</v>
      </c>
      <c r="D65" s="3" t="s">
        <v>13</v>
      </c>
      <c r="E65" s="3" t="s">
        <v>14</v>
      </c>
      <c r="F65" s="3" t="s">
        <v>15</v>
      </c>
      <c r="G65" s="4">
        <v>44990</v>
      </c>
      <c r="H65" s="5">
        <v>179</v>
      </c>
      <c r="I65" s="5">
        <v>205.63</v>
      </c>
      <c r="J65" s="5">
        <v>248.56</v>
      </c>
    </row>
    <row r="66" spans="1:10" ht="28.9" thickBot="1" x14ac:dyDescent="0.5">
      <c r="A66" s="3" t="s">
        <v>93</v>
      </c>
      <c r="B66" s="3" t="s">
        <v>11</v>
      </c>
      <c r="C66" s="3" t="s">
        <v>50</v>
      </c>
      <c r="D66" s="3" t="s">
        <v>42</v>
      </c>
      <c r="E66" s="3" t="s">
        <v>24</v>
      </c>
      <c r="F66" s="3" t="s">
        <v>28</v>
      </c>
      <c r="G66" s="4">
        <v>44991</v>
      </c>
      <c r="H66" s="5">
        <v>365</v>
      </c>
      <c r="I66" s="5">
        <v>302.92</v>
      </c>
      <c r="J66" s="5">
        <v>120.35</v>
      </c>
    </row>
    <row r="67" spans="1:10" ht="14.65" thickBot="1" x14ac:dyDescent="0.5">
      <c r="A67" s="3" t="s">
        <v>94</v>
      </c>
      <c r="B67" s="3" t="s">
        <v>48</v>
      </c>
      <c r="C67" s="3" t="s">
        <v>18</v>
      </c>
      <c r="D67" s="3" t="s">
        <v>19</v>
      </c>
      <c r="E67" s="3" t="s">
        <v>14</v>
      </c>
      <c r="F67" s="3" t="s">
        <v>28</v>
      </c>
      <c r="G67" s="4">
        <v>44992</v>
      </c>
      <c r="H67" s="5">
        <v>200</v>
      </c>
      <c r="I67" s="5">
        <v>318.11</v>
      </c>
      <c r="J67" s="5">
        <v>173.27</v>
      </c>
    </row>
    <row r="68" spans="1:10" ht="14.65" thickBot="1" x14ac:dyDescent="0.5">
      <c r="A68" s="3" t="s">
        <v>95</v>
      </c>
      <c r="B68" s="3" t="s">
        <v>17</v>
      </c>
      <c r="C68" s="3" t="s">
        <v>12</v>
      </c>
      <c r="D68" s="3" t="s">
        <v>23</v>
      </c>
      <c r="E68" s="3" t="s">
        <v>24</v>
      </c>
      <c r="F68" s="3" t="s">
        <v>20</v>
      </c>
      <c r="G68" s="4">
        <v>44993</v>
      </c>
      <c r="H68" s="5">
        <v>164</v>
      </c>
      <c r="I68" s="5">
        <v>189.56</v>
      </c>
      <c r="J68" s="5">
        <v>69.92</v>
      </c>
    </row>
    <row r="69" spans="1:10" ht="28.9" thickBot="1" x14ac:dyDescent="0.5">
      <c r="A69" s="3" t="s">
        <v>96</v>
      </c>
      <c r="B69" s="3" t="s">
        <v>22</v>
      </c>
      <c r="C69" s="3" t="s">
        <v>18</v>
      </c>
      <c r="D69" s="3" t="s">
        <v>42</v>
      </c>
      <c r="E69" s="3" t="s">
        <v>14</v>
      </c>
      <c r="F69" s="3" t="s">
        <v>15</v>
      </c>
      <c r="G69" s="4">
        <v>44994</v>
      </c>
      <c r="H69" s="5">
        <v>431</v>
      </c>
      <c r="I69" s="5">
        <v>258.74</v>
      </c>
      <c r="J69" s="5">
        <v>31.7</v>
      </c>
    </row>
    <row r="70" spans="1:10" ht="28.9" thickBot="1" x14ac:dyDescent="0.5">
      <c r="A70" s="3" t="s">
        <v>97</v>
      </c>
      <c r="B70" s="3" t="s">
        <v>17</v>
      </c>
      <c r="C70" s="3" t="s">
        <v>50</v>
      </c>
      <c r="D70" s="3" t="s">
        <v>42</v>
      </c>
      <c r="E70" s="3" t="s">
        <v>14</v>
      </c>
      <c r="F70" s="3" t="s">
        <v>28</v>
      </c>
      <c r="G70" s="4">
        <v>44995</v>
      </c>
      <c r="H70" s="5">
        <v>197</v>
      </c>
      <c r="I70" s="5">
        <v>209.45</v>
      </c>
      <c r="J70" s="5">
        <v>313.51</v>
      </c>
    </row>
    <row r="71" spans="1:10" ht="28.9" thickBot="1" x14ac:dyDescent="0.5">
      <c r="A71" s="3" t="s">
        <v>98</v>
      </c>
      <c r="B71" s="3" t="s">
        <v>48</v>
      </c>
      <c r="C71" s="3" t="s">
        <v>12</v>
      </c>
      <c r="D71" s="3" t="s">
        <v>42</v>
      </c>
      <c r="E71" s="3" t="s">
        <v>14</v>
      </c>
      <c r="F71" s="3" t="s">
        <v>28</v>
      </c>
      <c r="G71" s="4">
        <v>44996</v>
      </c>
      <c r="H71" s="5">
        <v>16</v>
      </c>
      <c r="I71" s="5">
        <v>39.22</v>
      </c>
      <c r="J71" s="5">
        <v>107.62</v>
      </c>
    </row>
    <row r="72" spans="1:10" ht="14.65" thickBot="1" x14ac:dyDescent="0.5">
      <c r="A72" s="3" t="s">
        <v>99</v>
      </c>
      <c r="B72" s="3" t="s">
        <v>48</v>
      </c>
      <c r="C72" s="3" t="s">
        <v>50</v>
      </c>
      <c r="D72" s="3" t="s">
        <v>13</v>
      </c>
      <c r="E72" s="3" t="s">
        <v>14</v>
      </c>
      <c r="F72" s="3" t="s">
        <v>15</v>
      </c>
      <c r="G72" s="4">
        <v>44997</v>
      </c>
      <c r="H72" s="5">
        <v>142</v>
      </c>
      <c r="I72" s="5">
        <v>221.4</v>
      </c>
      <c r="J72" s="5">
        <v>72.75</v>
      </c>
    </row>
    <row r="73" spans="1:10" ht="14.65" thickBot="1" x14ac:dyDescent="0.5">
      <c r="A73" s="3" t="s">
        <v>100</v>
      </c>
      <c r="B73" s="3" t="s">
        <v>48</v>
      </c>
      <c r="C73" s="3" t="s">
        <v>31</v>
      </c>
      <c r="D73" s="3" t="s">
        <v>19</v>
      </c>
      <c r="E73" s="3" t="s">
        <v>14</v>
      </c>
      <c r="F73" s="3" t="s">
        <v>20</v>
      </c>
      <c r="G73" s="4">
        <v>44998</v>
      </c>
      <c r="H73" s="5">
        <v>244</v>
      </c>
      <c r="I73" s="5">
        <v>53.21</v>
      </c>
      <c r="J73" s="5">
        <v>277.26</v>
      </c>
    </row>
    <row r="74" spans="1:10" ht="14.65" thickBot="1" x14ac:dyDescent="0.5">
      <c r="A74" s="3" t="s">
        <v>101</v>
      </c>
      <c r="B74" s="3" t="s">
        <v>22</v>
      </c>
      <c r="C74" s="3" t="s">
        <v>12</v>
      </c>
      <c r="D74" s="3" t="s">
        <v>13</v>
      </c>
      <c r="E74" s="3" t="s">
        <v>14</v>
      </c>
      <c r="F74" s="3" t="s">
        <v>15</v>
      </c>
      <c r="G74" s="4">
        <v>44999</v>
      </c>
      <c r="H74" s="5">
        <v>54</v>
      </c>
      <c r="I74" s="5">
        <v>205.49</v>
      </c>
      <c r="J74" s="5">
        <v>247.98</v>
      </c>
    </row>
    <row r="75" spans="1:10" ht="14.65" thickBot="1" x14ac:dyDescent="0.5">
      <c r="A75" s="3" t="s">
        <v>102</v>
      </c>
      <c r="B75" s="3" t="s">
        <v>48</v>
      </c>
      <c r="C75" s="3" t="s">
        <v>31</v>
      </c>
      <c r="D75" s="3" t="s">
        <v>19</v>
      </c>
      <c r="E75" s="3" t="s">
        <v>14</v>
      </c>
      <c r="F75" s="3" t="s">
        <v>20</v>
      </c>
      <c r="G75" s="4">
        <v>45000</v>
      </c>
      <c r="H75" s="5">
        <v>323</v>
      </c>
      <c r="I75" s="5">
        <v>298.49</v>
      </c>
      <c r="J75" s="5">
        <v>254.01</v>
      </c>
    </row>
    <row r="76" spans="1:10" ht="14.65" thickBot="1" x14ac:dyDescent="0.5">
      <c r="A76" s="3" t="s">
        <v>103</v>
      </c>
      <c r="B76" s="3" t="s">
        <v>22</v>
      </c>
      <c r="C76" s="3" t="s">
        <v>18</v>
      </c>
      <c r="D76" s="3" t="s">
        <v>13</v>
      </c>
      <c r="E76" s="3" t="s">
        <v>24</v>
      </c>
      <c r="F76" s="3" t="s">
        <v>28</v>
      </c>
      <c r="G76" s="4">
        <v>45001</v>
      </c>
      <c r="H76" s="5">
        <v>258</v>
      </c>
      <c r="I76" s="5">
        <v>291.81</v>
      </c>
      <c r="J76" s="5">
        <v>93.1</v>
      </c>
    </row>
    <row r="77" spans="1:10" ht="14.65" thickBot="1" x14ac:dyDescent="0.5">
      <c r="A77" s="3" t="s">
        <v>104</v>
      </c>
      <c r="B77" s="3" t="s">
        <v>48</v>
      </c>
      <c r="C77" s="3" t="s">
        <v>18</v>
      </c>
      <c r="D77" s="3" t="s">
        <v>13</v>
      </c>
      <c r="E77" s="3" t="s">
        <v>24</v>
      </c>
      <c r="F77" s="3" t="s">
        <v>20</v>
      </c>
      <c r="G77" s="4">
        <v>45002</v>
      </c>
      <c r="H77" s="5">
        <v>40</v>
      </c>
      <c r="I77" s="5">
        <v>333</v>
      </c>
      <c r="J77" s="5">
        <v>94.59</v>
      </c>
    </row>
    <row r="78" spans="1:10" ht="14.65" thickBot="1" x14ac:dyDescent="0.5">
      <c r="A78" s="3" t="s">
        <v>105</v>
      </c>
      <c r="B78" s="3" t="s">
        <v>17</v>
      </c>
      <c r="C78" s="3" t="s">
        <v>12</v>
      </c>
      <c r="D78" s="3" t="s">
        <v>23</v>
      </c>
      <c r="E78" s="3" t="s">
        <v>24</v>
      </c>
      <c r="F78" s="3" t="s">
        <v>28</v>
      </c>
      <c r="G78" s="4">
        <v>45003</v>
      </c>
      <c r="H78" s="5">
        <v>32</v>
      </c>
      <c r="I78" s="5">
        <v>52.15</v>
      </c>
      <c r="J78" s="5">
        <v>89.88</v>
      </c>
    </row>
    <row r="79" spans="1:10" ht="14.65" thickBot="1" x14ac:dyDescent="0.5">
      <c r="A79" s="3" t="s">
        <v>106</v>
      </c>
      <c r="B79" s="3" t="s">
        <v>17</v>
      </c>
      <c r="C79" s="3" t="s">
        <v>12</v>
      </c>
      <c r="D79" s="3" t="s">
        <v>13</v>
      </c>
      <c r="E79" s="3" t="s">
        <v>24</v>
      </c>
      <c r="F79" s="3" t="s">
        <v>15</v>
      </c>
      <c r="G79" s="4">
        <v>45004</v>
      </c>
      <c r="H79" s="5">
        <v>435</v>
      </c>
      <c r="I79" s="5">
        <v>327.8</v>
      </c>
      <c r="J79" s="5">
        <v>71.150000000000006</v>
      </c>
    </row>
    <row r="80" spans="1:10" ht="14.65" thickBot="1" x14ac:dyDescent="0.5">
      <c r="A80" s="3" t="s">
        <v>107</v>
      </c>
      <c r="B80" s="3" t="s">
        <v>11</v>
      </c>
      <c r="C80" s="3" t="s">
        <v>50</v>
      </c>
      <c r="D80" s="3" t="s">
        <v>27</v>
      </c>
      <c r="E80" s="3" t="s">
        <v>24</v>
      </c>
      <c r="F80" s="3" t="s">
        <v>15</v>
      </c>
      <c r="G80" s="4">
        <v>45005</v>
      </c>
      <c r="H80" s="5">
        <v>403</v>
      </c>
      <c r="I80" s="5">
        <v>159.51</v>
      </c>
      <c r="J80" s="5">
        <v>262.98</v>
      </c>
    </row>
    <row r="81" spans="1:10" ht="14.65" thickBot="1" x14ac:dyDescent="0.5">
      <c r="A81" s="3" t="s">
        <v>108</v>
      </c>
      <c r="B81" s="3" t="s">
        <v>17</v>
      </c>
      <c r="C81" s="3" t="s">
        <v>50</v>
      </c>
      <c r="D81" s="3" t="s">
        <v>23</v>
      </c>
      <c r="E81" s="3" t="s">
        <v>14</v>
      </c>
      <c r="F81" s="3" t="s">
        <v>15</v>
      </c>
      <c r="G81" s="4">
        <v>45006</v>
      </c>
      <c r="H81" s="5">
        <v>169</v>
      </c>
      <c r="I81" s="3"/>
      <c r="J81" s="5">
        <v>339.51</v>
      </c>
    </row>
    <row r="82" spans="1:10" ht="14.65" thickBot="1" x14ac:dyDescent="0.5">
      <c r="A82" s="3" t="s">
        <v>109</v>
      </c>
      <c r="B82" s="3" t="s">
        <v>11</v>
      </c>
      <c r="C82" s="3" t="s">
        <v>31</v>
      </c>
      <c r="D82" s="3" t="s">
        <v>13</v>
      </c>
      <c r="E82" s="3" t="s">
        <v>14</v>
      </c>
      <c r="F82" s="3" t="s">
        <v>20</v>
      </c>
      <c r="G82" s="4">
        <v>45007</v>
      </c>
      <c r="H82" s="5">
        <v>372</v>
      </c>
      <c r="I82" s="5">
        <v>429.7</v>
      </c>
      <c r="J82" s="5">
        <v>290.27999999999997</v>
      </c>
    </row>
    <row r="83" spans="1:10" ht="28.9" thickBot="1" x14ac:dyDescent="0.5">
      <c r="A83" s="3" t="s">
        <v>110</v>
      </c>
      <c r="B83" s="3" t="s">
        <v>17</v>
      </c>
      <c r="C83" s="3" t="s">
        <v>12</v>
      </c>
      <c r="D83" s="3" t="s">
        <v>42</v>
      </c>
      <c r="E83" s="3" t="s">
        <v>24</v>
      </c>
      <c r="F83" s="3" t="s">
        <v>28</v>
      </c>
      <c r="G83" s="4">
        <v>45008</v>
      </c>
      <c r="H83" s="5">
        <v>446</v>
      </c>
      <c r="I83" s="5">
        <v>9.4700000000000006</v>
      </c>
      <c r="J83" s="5">
        <v>317.25</v>
      </c>
    </row>
    <row r="84" spans="1:10" ht="14.65" thickBot="1" x14ac:dyDescent="0.5">
      <c r="A84" s="3" t="s">
        <v>111</v>
      </c>
      <c r="B84" s="3" t="s">
        <v>22</v>
      </c>
      <c r="C84" s="3" t="s">
        <v>18</v>
      </c>
      <c r="D84" s="3" t="s">
        <v>27</v>
      </c>
      <c r="E84" s="3" t="s">
        <v>14</v>
      </c>
      <c r="F84" s="3" t="s">
        <v>15</v>
      </c>
      <c r="G84" s="4">
        <v>45009</v>
      </c>
      <c r="H84" s="5">
        <v>167</v>
      </c>
      <c r="I84" s="5">
        <v>296.26</v>
      </c>
      <c r="J84" s="5">
        <v>163.11000000000001</v>
      </c>
    </row>
    <row r="85" spans="1:10" ht="14.65" thickBot="1" x14ac:dyDescent="0.5">
      <c r="A85" s="3" t="s">
        <v>112</v>
      </c>
      <c r="B85" s="3" t="s">
        <v>17</v>
      </c>
      <c r="C85" s="3" t="s">
        <v>50</v>
      </c>
      <c r="D85" s="3" t="s">
        <v>27</v>
      </c>
      <c r="E85" s="3" t="s">
        <v>24</v>
      </c>
      <c r="F85" s="3" t="s">
        <v>15</v>
      </c>
      <c r="G85" s="4">
        <v>45010</v>
      </c>
      <c r="H85" s="5">
        <v>48</v>
      </c>
      <c r="I85" s="5">
        <v>301.36</v>
      </c>
      <c r="J85" s="5">
        <v>262.32</v>
      </c>
    </row>
    <row r="86" spans="1:10" ht="14.65" thickBot="1" x14ac:dyDescent="0.5">
      <c r="A86" s="3" t="s">
        <v>113</v>
      </c>
      <c r="B86" s="3" t="s">
        <v>11</v>
      </c>
      <c r="C86" s="3" t="s">
        <v>50</v>
      </c>
      <c r="D86" s="3" t="s">
        <v>27</v>
      </c>
      <c r="E86" s="3" t="s">
        <v>24</v>
      </c>
      <c r="F86" s="3" t="s">
        <v>28</v>
      </c>
      <c r="G86" s="4">
        <v>45011</v>
      </c>
      <c r="H86" s="5">
        <v>424</v>
      </c>
      <c r="I86" s="5">
        <v>201.35</v>
      </c>
      <c r="J86" s="5">
        <v>142.99</v>
      </c>
    </row>
    <row r="87" spans="1:10" ht="14.65" thickBot="1" x14ac:dyDescent="0.5">
      <c r="A87" s="3" t="s">
        <v>114</v>
      </c>
      <c r="B87" s="3" t="s">
        <v>11</v>
      </c>
      <c r="C87" s="3" t="s">
        <v>18</v>
      </c>
      <c r="D87" s="3" t="s">
        <v>23</v>
      </c>
      <c r="E87" s="3" t="s">
        <v>14</v>
      </c>
      <c r="F87" s="3" t="s">
        <v>15</v>
      </c>
      <c r="G87" s="4">
        <v>45012</v>
      </c>
      <c r="H87" s="5">
        <v>91</v>
      </c>
      <c r="I87" s="5">
        <v>122.33</v>
      </c>
      <c r="J87" s="5">
        <v>211.15</v>
      </c>
    </row>
    <row r="88" spans="1:10" ht="14.65" thickBot="1" x14ac:dyDescent="0.5">
      <c r="A88" s="3" t="s">
        <v>115</v>
      </c>
      <c r="B88" s="3" t="s">
        <v>48</v>
      </c>
      <c r="C88" s="3" t="s">
        <v>50</v>
      </c>
      <c r="D88" s="3" t="s">
        <v>13</v>
      </c>
      <c r="E88" s="3" t="s">
        <v>14</v>
      </c>
      <c r="F88" s="3" t="s">
        <v>28</v>
      </c>
      <c r="G88" s="4">
        <v>45013</v>
      </c>
      <c r="H88" s="5">
        <v>365</v>
      </c>
      <c r="I88" s="5">
        <v>121.16</v>
      </c>
      <c r="J88" s="5">
        <v>193.69</v>
      </c>
    </row>
    <row r="89" spans="1:10" ht="14.65" thickBot="1" x14ac:dyDescent="0.5">
      <c r="A89" s="3" t="s">
        <v>116</v>
      </c>
      <c r="B89" s="3" t="s">
        <v>22</v>
      </c>
      <c r="C89" s="3" t="s">
        <v>31</v>
      </c>
      <c r="D89" s="3" t="s">
        <v>13</v>
      </c>
      <c r="E89" s="3" t="s">
        <v>14</v>
      </c>
      <c r="F89" s="3" t="s">
        <v>28</v>
      </c>
      <c r="G89" s="4">
        <v>45014</v>
      </c>
      <c r="H89" s="5">
        <v>267</v>
      </c>
      <c r="I89" s="5">
        <v>442.44</v>
      </c>
      <c r="J89" s="5">
        <v>72.400000000000006</v>
      </c>
    </row>
    <row r="90" spans="1:10" ht="28.9" thickBot="1" x14ac:dyDescent="0.5">
      <c r="A90" s="3" t="s">
        <v>117</v>
      </c>
      <c r="B90" s="3" t="s">
        <v>17</v>
      </c>
      <c r="C90" s="3" t="s">
        <v>12</v>
      </c>
      <c r="D90" s="3" t="s">
        <v>42</v>
      </c>
      <c r="E90" s="3" t="s">
        <v>24</v>
      </c>
      <c r="F90" s="3" t="s">
        <v>28</v>
      </c>
      <c r="G90" s="4">
        <v>45015</v>
      </c>
      <c r="H90" s="5">
        <v>215</v>
      </c>
      <c r="I90" s="5">
        <v>223.8</v>
      </c>
      <c r="J90" s="5">
        <v>156.06</v>
      </c>
    </row>
    <row r="91" spans="1:10" ht="28.9" thickBot="1" x14ac:dyDescent="0.5">
      <c r="A91" s="3" t="s">
        <v>118</v>
      </c>
      <c r="B91" s="3" t="s">
        <v>48</v>
      </c>
      <c r="C91" s="3" t="s">
        <v>18</v>
      </c>
      <c r="D91" s="3" t="s">
        <v>42</v>
      </c>
      <c r="E91" s="3" t="s">
        <v>14</v>
      </c>
      <c r="F91" s="3" t="s">
        <v>28</v>
      </c>
      <c r="G91" s="4">
        <v>45016</v>
      </c>
      <c r="H91" s="5">
        <v>86</v>
      </c>
      <c r="I91" s="5">
        <v>168.79</v>
      </c>
      <c r="J91" s="5">
        <v>385.6</v>
      </c>
    </row>
    <row r="92" spans="1:10" ht="14.65" thickBot="1" x14ac:dyDescent="0.5">
      <c r="A92" s="3" t="s">
        <v>119</v>
      </c>
      <c r="B92" s="3" t="s">
        <v>17</v>
      </c>
      <c r="C92" s="3" t="s">
        <v>12</v>
      </c>
      <c r="D92" s="3" t="s">
        <v>27</v>
      </c>
      <c r="E92" s="3" t="s">
        <v>24</v>
      </c>
      <c r="F92" s="3" t="s">
        <v>28</v>
      </c>
      <c r="G92" s="4">
        <v>45017</v>
      </c>
      <c r="H92" s="5">
        <v>486</v>
      </c>
      <c r="I92" s="5">
        <v>227.14</v>
      </c>
      <c r="J92" s="5">
        <v>100.93</v>
      </c>
    </row>
    <row r="93" spans="1:10" ht="28.9" thickBot="1" x14ac:dyDescent="0.5">
      <c r="A93" s="3" t="s">
        <v>120</v>
      </c>
      <c r="B93" s="3" t="s">
        <v>17</v>
      </c>
      <c r="C93" s="3" t="s">
        <v>50</v>
      </c>
      <c r="D93" s="3" t="s">
        <v>42</v>
      </c>
      <c r="E93" s="3" t="s">
        <v>24</v>
      </c>
      <c r="F93" s="3" t="s">
        <v>20</v>
      </c>
      <c r="G93" s="4">
        <v>45018</v>
      </c>
      <c r="H93" s="5">
        <v>21</v>
      </c>
      <c r="I93" s="3"/>
      <c r="J93" s="5">
        <v>55.25</v>
      </c>
    </row>
    <row r="94" spans="1:10" ht="14.65" thickBot="1" x14ac:dyDescent="0.5">
      <c r="A94" s="3" t="s">
        <v>121</v>
      </c>
      <c r="B94" s="3" t="s">
        <v>48</v>
      </c>
      <c r="C94" s="3" t="s">
        <v>50</v>
      </c>
      <c r="D94" s="3" t="s">
        <v>23</v>
      </c>
      <c r="E94" s="3" t="s">
        <v>24</v>
      </c>
      <c r="F94" s="3" t="s">
        <v>15</v>
      </c>
      <c r="G94" s="4">
        <v>45019</v>
      </c>
      <c r="H94" s="5">
        <v>304</v>
      </c>
      <c r="I94" s="5">
        <v>77.150000000000006</v>
      </c>
      <c r="J94" s="5">
        <v>168.6</v>
      </c>
    </row>
    <row r="95" spans="1:10" ht="14.65" thickBot="1" x14ac:dyDescent="0.5">
      <c r="A95" s="3" t="s">
        <v>122</v>
      </c>
      <c r="B95" s="3" t="s">
        <v>48</v>
      </c>
      <c r="C95" s="3" t="s">
        <v>18</v>
      </c>
      <c r="D95" s="3" t="s">
        <v>13</v>
      </c>
      <c r="E95" s="3" t="s">
        <v>14</v>
      </c>
      <c r="F95" s="3" t="s">
        <v>20</v>
      </c>
      <c r="G95" s="4">
        <v>45020</v>
      </c>
      <c r="H95" s="5">
        <v>459</v>
      </c>
      <c r="I95" s="5">
        <v>227.47</v>
      </c>
      <c r="J95" s="5">
        <v>316.55</v>
      </c>
    </row>
    <row r="96" spans="1:10" ht="14.65" thickBot="1" x14ac:dyDescent="0.5">
      <c r="A96" s="3" t="s">
        <v>123</v>
      </c>
      <c r="B96" s="3" t="s">
        <v>48</v>
      </c>
      <c r="C96" s="3" t="s">
        <v>31</v>
      </c>
      <c r="D96" s="3" t="s">
        <v>27</v>
      </c>
      <c r="E96" s="3" t="s">
        <v>14</v>
      </c>
      <c r="F96" s="3" t="s">
        <v>15</v>
      </c>
      <c r="G96" s="4">
        <v>45021</v>
      </c>
      <c r="H96" s="5">
        <v>233</v>
      </c>
      <c r="I96" s="5">
        <v>296</v>
      </c>
      <c r="J96" s="5">
        <v>233.69</v>
      </c>
    </row>
    <row r="97" spans="1:10" ht="28.9" thickBot="1" x14ac:dyDescent="0.5">
      <c r="A97" s="3" t="s">
        <v>124</v>
      </c>
      <c r="B97" s="3" t="s">
        <v>48</v>
      </c>
      <c r="C97" s="3" t="s">
        <v>26</v>
      </c>
      <c r="D97" s="3" t="s">
        <v>42</v>
      </c>
      <c r="E97" s="3" t="s">
        <v>24</v>
      </c>
      <c r="F97" s="3" t="s">
        <v>20</v>
      </c>
      <c r="G97" s="4">
        <v>45022</v>
      </c>
      <c r="H97" s="5">
        <v>22</v>
      </c>
      <c r="I97" s="5">
        <v>474.55</v>
      </c>
      <c r="J97" s="5">
        <v>273.02999999999997</v>
      </c>
    </row>
    <row r="98" spans="1:10" ht="14.65" thickBot="1" x14ac:dyDescent="0.5">
      <c r="A98" s="3" t="s">
        <v>125</v>
      </c>
      <c r="B98" s="3" t="s">
        <v>48</v>
      </c>
      <c r="C98" s="3" t="s">
        <v>18</v>
      </c>
      <c r="D98" s="3" t="s">
        <v>23</v>
      </c>
      <c r="E98" s="3" t="s">
        <v>14</v>
      </c>
      <c r="F98" s="3" t="s">
        <v>28</v>
      </c>
      <c r="G98" s="4">
        <v>45023</v>
      </c>
      <c r="H98" s="5">
        <v>55</v>
      </c>
      <c r="I98" s="5">
        <v>130</v>
      </c>
      <c r="J98" s="5">
        <v>77.5</v>
      </c>
    </row>
    <row r="99" spans="1:10" ht="14.65" thickBot="1" x14ac:dyDescent="0.5">
      <c r="A99" s="3" t="s">
        <v>126</v>
      </c>
      <c r="B99" s="3" t="s">
        <v>17</v>
      </c>
      <c r="C99" s="3" t="s">
        <v>26</v>
      </c>
      <c r="D99" s="3" t="s">
        <v>23</v>
      </c>
      <c r="E99" s="3" t="s">
        <v>14</v>
      </c>
      <c r="F99" s="3" t="s">
        <v>15</v>
      </c>
      <c r="G99" s="4">
        <v>45024</v>
      </c>
      <c r="H99" s="5">
        <v>164</v>
      </c>
      <c r="I99" s="5">
        <v>182.83</v>
      </c>
      <c r="J99" s="5">
        <v>248.34</v>
      </c>
    </row>
    <row r="100" spans="1:10" ht="28.9" thickBot="1" x14ac:dyDescent="0.5">
      <c r="A100" s="3" t="s">
        <v>127</v>
      </c>
      <c r="B100" s="3" t="s">
        <v>48</v>
      </c>
      <c r="C100" s="3" t="s">
        <v>26</v>
      </c>
      <c r="D100" s="3" t="s">
        <v>42</v>
      </c>
      <c r="E100" s="3" t="s">
        <v>14</v>
      </c>
      <c r="F100" s="3" t="s">
        <v>15</v>
      </c>
      <c r="G100" s="4">
        <v>45025</v>
      </c>
      <c r="H100" s="5">
        <v>122</v>
      </c>
      <c r="I100" s="5">
        <v>192.78</v>
      </c>
      <c r="J100" s="5">
        <v>130.75</v>
      </c>
    </row>
    <row r="101" spans="1:10" ht="14.65" thickBot="1" x14ac:dyDescent="0.5">
      <c r="A101" s="3" t="s">
        <v>128</v>
      </c>
      <c r="B101" s="3" t="s">
        <v>22</v>
      </c>
      <c r="C101" s="3" t="s">
        <v>31</v>
      </c>
      <c r="D101" s="3" t="s">
        <v>13</v>
      </c>
      <c r="E101" s="3" t="s">
        <v>24</v>
      </c>
      <c r="F101" s="3" t="s">
        <v>20</v>
      </c>
      <c r="G101" s="4">
        <v>45026</v>
      </c>
      <c r="H101" s="5">
        <v>242</v>
      </c>
      <c r="I101" s="5">
        <v>304.74</v>
      </c>
      <c r="J101" s="5">
        <v>334.05</v>
      </c>
    </row>
    <row r="102" spans="1:10" ht="28.9" thickBot="1" x14ac:dyDescent="0.5">
      <c r="A102" s="3" t="s">
        <v>129</v>
      </c>
      <c r="B102" s="3" t="s">
        <v>11</v>
      </c>
      <c r="C102" s="3" t="s">
        <v>26</v>
      </c>
      <c r="D102" s="3" t="s">
        <v>42</v>
      </c>
      <c r="E102" s="3" t="s">
        <v>24</v>
      </c>
      <c r="F102" s="3" t="s">
        <v>20</v>
      </c>
      <c r="G102" s="4">
        <v>45027</v>
      </c>
      <c r="H102" s="5">
        <v>26</v>
      </c>
      <c r="I102" s="5">
        <v>181.58</v>
      </c>
      <c r="J102" s="5">
        <v>252.46</v>
      </c>
    </row>
    <row r="103" spans="1:10" ht="14.65" thickBot="1" x14ac:dyDescent="0.5">
      <c r="A103" s="3" t="s">
        <v>130</v>
      </c>
      <c r="B103" s="3" t="s">
        <v>48</v>
      </c>
      <c r="C103" s="3" t="s">
        <v>26</v>
      </c>
      <c r="D103" s="3" t="s">
        <v>27</v>
      </c>
      <c r="E103" s="3" t="s">
        <v>14</v>
      </c>
      <c r="F103" s="3" t="s">
        <v>15</v>
      </c>
      <c r="G103" s="4">
        <v>45028</v>
      </c>
      <c r="H103" s="5">
        <v>369</v>
      </c>
      <c r="I103" s="5">
        <v>269.08999999999997</v>
      </c>
      <c r="J103" s="5">
        <v>81.14</v>
      </c>
    </row>
    <row r="104" spans="1:10" ht="28.9" thickBot="1" x14ac:dyDescent="0.5">
      <c r="A104" s="3" t="s">
        <v>131</v>
      </c>
      <c r="B104" s="3" t="s">
        <v>48</v>
      </c>
      <c r="C104" s="3" t="s">
        <v>31</v>
      </c>
      <c r="D104" s="3" t="s">
        <v>42</v>
      </c>
      <c r="E104" s="3" t="s">
        <v>24</v>
      </c>
      <c r="F104" s="3" t="s">
        <v>20</v>
      </c>
      <c r="G104" s="4">
        <v>45029</v>
      </c>
      <c r="H104" s="5">
        <v>232</v>
      </c>
      <c r="I104" s="5">
        <v>391.99</v>
      </c>
      <c r="J104" s="5">
        <v>27.72</v>
      </c>
    </row>
    <row r="105" spans="1:10" ht="14.65" thickBot="1" x14ac:dyDescent="0.5">
      <c r="A105" s="3" t="s">
        <v>132</v>
      </c>
      <c r="B105" s="3" t="s">
        <v>17</v>
      </c>
      <c r="C105" s="3" t="s">
        <v>26</v>
      </c>
      <c r="D105" s="3" t="s">
        <v>23</v>
      </c>
      <c r="E105" s="3" t="s">
        <v>14</v>
      </c>
      <c r="F105" s="3" t="s">
        <v>20</v>
      </c>
      <c r="G105" s="4">
        <v>45030</v>
      </c>
      <c r="H105" s="5">
        <v>363</v>
      </c>
      <c r="I105" s="5">
        <v>354.17</v>
      </c>
      <c r="J105" s="5">
        <v>18.97</v>
      </c>
    </row>
    <row r="106" spans="1:10" ht="28.9" thickBot="1" x14ac:dyDescent="0.5">
      <c r="A106" s="3" t="s">
        <v>133</v>
      </c>
      <c r="B106" s="3" t="s">
        <v>48</v>
      </c>
      <c r="C106" s="3" t="s">
        <v>26</v>
      </c>
      <c r="D106" s="3" t="s">
        <v>42</v>
      </c>
      <c r="E106" s="3" t="s">
        <v>14</v>
      </c>
      <c r="F106" s="3" t="s">
        <v>20</v>
      </c>
      <c r="G106" s="4">
        <v>45031</v>
      </c>
      <c r="H106" s="5">
        <v>197</v>
      </c>
      <c r="I106" s="5">
        <v>225.95</v>
      </c>
      <c r="J106" s="5">
        <v>149.82</v>
      </c>
    </row>
    <row r="107" spans="1:10" ht="14.65" thickBot="1" x14ac:dyDescent="0.5">
      <c r="A107" s="3" t="s">
        <v>134</v>
      </c>
      <c r="B107" s="3" t="s">
        <v>48</v>
      </c>
      <c r="C107" s="3" t="s">
        <v>26</v>
      </c>
      <c r="D107" s="3" t="s">
        <v>13</v>
      </c>
      <c r="E107" s="3" t="s">
        <v>14</v>
      </c>
      <c r="F107" s="3" t="s">
        <v>28</v>
      </c>
      <c r="G107" s="4">
        <v>45032</v>
      </c>
      <c r="H107" s="5">
        <v>457</v>
      </c>
      <c r="I107" s="5">
        <v>432.79</v>
      </c>
      <c r="J107" s="5">
        <v>107.81</v>
      </c>
    </row>
    <row r="108" spans="1:10" ht="14.65" thickBot="1" x14ac:dyDescent="0.5">
      <c r="A108" s="3" t="s">
        <v>135</v>
      </c>
      <c r="B108" s="3" t="s">
        <v>48</v>
      </c>
      <c r="C108" s="3" t="s">
        <v>18</v>
      </c>
      <c r="D108" s="3" t="s">
        <v>19</v>
      </c>
      <c r="E108" s="3" t="s">
        <v>14</v>
      </c>
      <c r="F108" s="3" t="s">
        <v>28</v>
      </c>
      <c r="G108" s="4">
        <v>45033</v>
      </c>
      <c r="H108" s="5">
        <v>353</v>
      </c>
      <c r="I108" s="5">
        <v>281.27999999999997</v>
      </c>
      <c r="J108" s="5">
        <v>259.14</v>
      </c>
    </row>
    <row r="109" spans="1:10" ht="28.9" thickBot="1" x14ac:dyDescent="0.5">
      <c r="A109" s="3" t="s">
        <v>136</v>
      </c>
      <c r="B109" s="3" t="s">
        <v>17</v>
      </c>
      <c r="C109" s="3" t="s">
        <v>18</v>
      </c>
      <c r="D109" s="3" t="s">
        <v>42</v>
      </c>
      <c r="E109" s="3" t="s">
        <v>24</v>
      </c>
      <c r="F109" s="3" t="s">
        <v>20</v>
      </c>
      <c r="G109" s="4">
        <v>45034</v>
      </c>
      <c r="H109" s="5">
        <v>374</v>
      </c>
      <c r="I109" s="5">
        <v>272.25</v>
      </c>
      <c r="J109" s="5">
        <v>200.73</v>
      </c>
    </row>
    <row r="110" spans="1:10" ht="14.65" thickBot="1" x14ac:dyDescent="0.5">
      <c r="A110" s="3" t="s">
        <v>137</v>
      </c>
      <c r="B110" s="3" t="s">
        <v>48</v>
      </c>
      <c r="C110" s="3" t="s">
        <v>18</v>
      </c>
      <c r="D110" s="3" t="s">
        <v>13</v>
      </c>
      <c r="E110" s="3" t="s">
        <v>24</v>
      </c>
      <c r="F110" s="3" t="s">
        <v>20</v>
      </c>
      <c r="G110" s="4">
        <v>45035</v>
      </c>
      <c r="H110" s="5">
        <v>172</v>
      </c>
      <c r="I110" s="5">
        <v>21.92</v>
      </c>
      <c r="J110" s="5">
        <v>107.88</v>
      </c>
    </row>
    <row r="111" spans="1:10" ht="14.65" thickBot="1" x14ac:dyDescent="0.5">
      <c r="A111" s="3" t="s">
        <v>138</v>
      </c>
      <c r="B111" s="3" t="s">
        <v>11</v>
      </c>
      <c r="C111" s="3" t="s">
        <v>31</v>
      </c>
      <c r="D111" s="3" t="s">
        <v>13</v>
      </c>
      <c r="E111" s="3" t="s">
        <v>24</v>
      </c>
      <c r="F111" s="3" t="s">
        <v>28</v>
      </c>
      <c r="G111" s="4">
        <v>45036</v>
      </c>
      <c r="H111" s="5">
        <v>335</v>
      </c>
      <c r="I111" s="5">
        <v>493.41</v>
      </c>
      <c r="J111" s="5">
        <v>61.4</v>
      </c>
    </row>
    <row r="112" spans="1:10" ht="14.65" thickBot="1" x14ac:dyDescent="0.5">
      <c r="A112" s="3" t="s">
        <v>139</v>
      </c>
      <c r="B112" s="3" t="s">
        <v>17</v>
      </c>
      <c r="C112" s="3" t="s">
        <v>50</v>
      </c>
      <c r="D112" s="3" t="s">
        <v>23</v>
      </c>
      <c r="E112" s="3" t="s">
        <v>14</v>
      </c>
      <c r="F112" s="3" t="s">
        <v>28</v>
      </c>
      <c r="G112" s="4">
        <v>45037</v>
      </c>
      <c r="H112" s="5">
        <v>476</v>
      </c>
      <c r="I112" s="5">
        <v>65.87</v>
      </c>
      <c r="J112" s="5">
        <v>52.63</v>
      </c>
    </row>
    <row r="113" spans="1:10" ht="14.65" thickBot="1" x14ac:dyDescent="0.5">
      <c r="A113" s="3" t="s">
        <v>140</v>
      </c>
      <c r="B113" s="3" t="s">
        <v>11</v>
      </c>
      <c r="C113" s="3" t="s">
        <v>26</v>
      </c>
      <c r="D113" s="3" t="s">
        <v>13</v>
      </c>
      <c r="E113" s="3" t="s">
        <v>14</v>
      </c>
      <c r="F113" s="3" t="s">
        <v>15</v>
      </c>
      <c r="G113" s="4">
        <v>45038</v>
      </c>
      <c r="H113" s="5">
        <v>423</v>
      </c>
      <c r="I113" s="5">
        <v>119.41</v>
      </c>
      <c r="J113" s="5">
        <v>346.13</v>
      </c>
    </row>
    <row r="114" spans="1:10" ht="14.65" thickBot="1" x14ac:dyDescent="0.5">
      <c r="A114" s="3" t="s">
        <v>141</v>
      </c>
      <c r="B114" s="3" t="s">
        <v>17</v>
      </c>
      <c r="C114" s="3" t="s">
        <v>26</v>
      </c>
      <c r="D114" s="3" t="s">
        <v>13</v>
      </c>
      <c r="E114" s="3" t="s">
        <v>14</v>
      </c>
      <c r="F114" s="3" t="s">
        <v>15</v>
      </c>
      <c r="G114" s="4">
        <v>45039</v>
      </c>
      <c r="H114" s="5">
        <v>464</v>
      </c>
      <c r="I114" s="5">
        <v>30.59</v>
      </c>
      <c r="J114" s="5">
        <v>98.9</v>
      </c>
    </row>
    <row r="115" spans="1:10" ht="14.65" thickBot="1" x14ac:dyDescent="0.5">
      <c r="A115" s="3" t="s">
        <v>142</v>
      </c>
      <c r="B115" s="3" t="s">
        <v>48</v>
      </c>
      <c r="C115" s="3" t="s">
        <v>31</v>
      </c>
      <c r="D115" s="3" t="s">
        <v>13</v>
      </c>
      <c r="E115" s="3" t="s">
        <v>24</v>
      </c>
      <c r="F115" s="3" t="s">
        <v>28</v>
      </c>
      <c r="G115" s="4">
        <v>45040</v>
      </c>
      <c r="H115" s="5">
        <v>83</v>
      </c>
      <c r="I115" s="5">
        <v>321.8</v>
      </c>
      <c r="J115" s="5">
        <v>261.38</v>
      </c>
    </row>
    <row r="116" spans="1:10" ht="14.65" thickBot="1" x14ac:dyDescent="0.5">
      <c r="A116" s="3" t="s">
        <v>143</v>
      </c>
      <c r="B116" s="3" t="s">
        <v>11</v>
      </c>
      <c r="C116" s="3" t="s">
        <v>26</v>
      </c>
      <c r="D116" s="3" t="s">
        <v>13</v>
      </c>
      <c r="E116" s="3" t="s">
        <v>14</v>
      </c>
      <c r="F116" s="3" t="s">
        <v>20</v>
      </c>
      <c r="G116" s="4">
        <v>45041</v>
      </c>
      <c r="H116" s="5">
        <v>242</v>
      </c>
      <c r="I116" s="5">
        <v>116.23</v>
      </c>
      <c r="J116" s="5">
        <v>324.64999999999998</v>
      </c>
    </row>
    <row r="117" spans="1:10" ht="14.65" thickBot="1" x14ac:dyDescent="0.5">
      <c r="A117" s="3" t="s">
        <v>144</v>
      </c>
      <c r="B117" s="3" t="s">
        <v>17</v>
      </c>
      <c r="C117" s="3" t="s">
        <v>18</v>
      </c>
      <c r="D117" s="3" t="s">
        <v>27</v>
      </c>
      <c r="E117" s="3" t="s">
        <v>24</v>
      </c>
      <c r="F117" s="3" t="s">
        <v>20</v>
      </c>
      <c r="G117" s="4">
        <v>45042</v>
      </c>
      <c r="H117" s="5">
        <v>233</v>
      </c>
      <c r="I117" s="5">
        <v>94.11</v>
      </c>
      <c r="J117" s="5">
        <v>246.4</v>
      </c>
    </row>
    <row r="118" spans="1:10" ht="14.65" thickBot="1" x14ac:dyDescent="0.5">
      <c r="A118" s="3" t="s">
        <v>145</v>
      </c>
      <c r="B118" s="3" t="s">
        <v>22</v>
      </c>
      <c r="C118" s="3" t="s">
        <v>50</v>
      </c>
      <c r="D118" s="3" t="s">
        <v>27</v>
      </c>
      <c r="E118" s="3" t="s">
        <v>24</v>
      </c>
      <c r="F118" s="3" t="s">
        <v>20</v>
      </c>
      <c r="G118" s="4">
        <v>45043</v>
      </c>
      <c r="H118" s="5">
        <v>491</v>
      </c>
      <c r="I118" s="5">
        <v>48.84</v>
      </c>
      <c r="J118" s="5">
        <v>344.11</v>
      </c>
    </row>
    <row r="119" spans="1:10" ht="14.65" thickBot="1" x14ac:dyDescent="0.5">
      <c r="A119" s="3" t="s">
        <v>146</v>
      </c>
      <c r="B119" s="3"/>
      <c r="C119" s="3" t="s">
        <v>12</v>
      </c>
      <c r="D119" s="3" t="s">
        <v>23</v>
      </c>
      <c r="E119" s="3" t="s">
        <v>24</v>
      </c>
      <c r="F119" s="3" t="s">
        <v>20</v>
      </c>
      <c r="G119" s="4">
        <v>45044</v>
      </c>
      <c r="H119" s="5">
        <v>328</v>
      </c>
      <c r="I119" s="5">
        <v>56.14</v>
      </c>
      <c r="J119" s="5">
        <v>158.16999999999999</v>
      </c>
    </row>
    <row r="120" spans="1:10" ht="28.9" thickBot="1" x14ac:dyDescent="0.5">
      <c r="A120" s="3" t="s">
        <v>147</v>
      </c>
      <c r="B120" s="3" t="s">
        <v>17</v>
      </c>
      <c r="C120" s="3" t="s">
        <v>26</v>
      </c>
      <c r="D120" s="3" t="s">
        <v>42</v>
      </c>
      <c r="E120" s="3" t="s">
        <v>24</v>
      </c>
      <c r="F120" s="3" t="s">
        <v>15</v>
      </c>
      <c r="G120" s="4">
        <v>45045</v>
      </c>
      <c r="H120" s="5">
        <v>421</v>
      </c>
      <c r="I120" s="5">
        <v>294.41000000000003</v>
      </c>
      <c r="J120" s="5">
        <v>382.58</v>
      </c>
    </row>
    <row r="121" spans="1:10" ht="14.65" thickBot="1" x14ac:dyDescent="0.5">
      <c r="A121" s="3" t="s">
        <v>148</v>
      </c>
      <c r="B121" s="3" t="s">
        <v>22</v>
      </c>
      <c r="C121" s="3" t="s">
        <v>18</v>
      </c>
      <c r="D121" s="3" t="s">
        <v>13</v>
      </c>
      <c r="E121" s="3" t="s">
        <v>24</v>
      </c>
      <c r="F121" s="3" t="s">
        <v>28</v>
      </c>
      <c r="G121" s="4">
        <v>45046</v>
      </c>
      <c r="H121" s="5">
        <v>69</v>
      </c>
      <c r="I121" s="5">
        <v>345.66</v>
      </c>
      <c r="J121" s="5">
        <v>54.99</v>
      </c>
    </row>
    <row r="122" spans="1:10" ht="28.9" thickBot="1" x14ac:dyDescent="0.5">
      <c r="A122" s="3" t="s">
        <v>149</v>
      </c>
      <c r="B122" s="3" t="s">
        <v>17</v>
      </c>
      <c r="C122" s="3" t="s">
        <v>12</v>
      </c>
      <c r="D122" s="3" t="s">
        <v>42</v>
      </c>
      <c r="E122" s="3" t="s">
        <v>24</v>
      </c>
      <c r="F122" s="3" t="s">
        <v>20</v>
      </c>
      <c r="G122" s="4">
        <v>45047</v>
      </c>
      <c r="H122" s="5">
        <v>344</v>
      </c>
      <c r="I122" s="5">
        <v>201.7</v>
      </c>
      <c r="J122" s="5">
        <v>42.66</v>
      </c>
    </row>
    <row r="123" spans="1:10" ht="28.9" thickBot="1" x14ac:dyDescent="0.5">
      <c r="A123" s="3" t="s">
        <v>150</v>
      </c>
      <c r="B123" s="3"/>
      <c r="C123" s="3" t="s">
        <v>50</v>
      </c>
      <c r="D123" s="3" t="s">
        <v>42</v>
      </c>
      <c r="E123" s="3" t="s">
        <v>14</v>
      </c>
      <c r="F123" s="3" t="s">
        <v>15</v>
      </c>
      <c r="G123" s="4">
        <v>45048</v>
      </c>
      <c r="H123" s="5">
        <v>231</v>
      </c>
      <c r="I123" s="5">
        <v>242.55</v>
      </c>
      <c r="J123" s="5">
        <v>264.16000000000003</v>
      </c>
    </row>
    <row r="124" spans="1:10" ht="14.65" thickBot="1" x14ac:dyDescent="0.5">
      <c r="A124" s="3" t="s">
        <v>151</v>
      </c>
      <c r="B124" s="3" t="s">
        <v>48</v>
      </c>
      <c r="C124" s="3" t="s">
        <v>12</v>
      </c>
      <c r="D124" s="3" t="s">
        <v>23</v>
      </c>
      <c r="E124" s="3" t="s">
        <v>14</v>
      </c>
      <c r="F124" s="3" t="s">
        <v>20</v>
      </c>
      <c r="G124" s="4">
        <v>45049</v>
      </c>
      <c r="H124" s="5">
        <v>46</v>
      </c>
      <c r="I124" s="5">
        <v>344.55</v>
      </c>
      <c r="J124" s="5">
        <v>377.25</v>
      </c>
    </row>
    <row r="125" spans="1:10" ht="14.65" thickBot="1" x14ac:dyDescent="0.5">
      <c r="A125" s="3" t="s">
        <v>152</v>
      </c>
      <c r="B125" s="3" t="s">
        <v>11</v>
      </c>
      <c r="C125" s="3" t="s">
        <v>18</v>
      </c>
      <c r="D125" s="3" t="s">
        <v>13</v>
      </c>
      <c r="E125" s="3" t="s">
        <v>24</v>
      </c>
      <c r="F125" s="3" t="s">
        <v>28</v>
      </c>
      <c r="G125" s="4">
        <v>45050</v>
      </c>
      <c r="H125" s="5">
        <v>486</v>
      </c>
      <c r="I125" s="5">
        <v>13.6</v>
      </c>
      <c r="J125" s="5">
        <v>323.94</v>
      </c>
    </row>
    <row r="126" spans="1:10" ht="14.65" thickBot="1" x14ac:dyDescent="0.5">
      <c r="A126" s="3" t="s">
        <v>153</v>
      </c>
      <c r="B126" s="3" t="s">
        <v>22</v>
      </c>
      <c r="C126" s="3" t="s">
        <v>12</v>
      </c>
      <c r="D126" s="3" t="s">
        <v>13</v>
      </c>
      <c r="E126" s="3" t="s">
        <v>24</v>
      </c>
      <c r="F126" s="3" t="s">
        <v>15</v>
      </c>
      <c r="G126" s="4">
        <v>45051</v>
      </c>
      <c r="H126" s="5">
        <v>287</v>
      </c>
      <c r="I126" s="5">
        <v>164.95</v>
      </c>
      <c r="J126" s="5">
        <v>32.409999999999997</v>
      </c>
    </row>
    <row r="127" spans="1:10" ht="14.65" thickBot="1" x14ac:dyDescent="0.5">
      <c r="A127" s="3" t="s">
        <v>154</v>
      </c>
      <c r="B127" s="3" t="s">
        <v>17</v>
      </c>
      <c r="C127" s="3" t="s">
        <v>31</v>
      </c>
      <c r="D127" s="3" t="s">
        <v>19</v>
      </c>
      <c r="E127" s="3" t="s">
        <v>14</v>
      </c>
      <c r="F127" s="3" t="s">
        <v>28</v>
      </c>
      <c r="G127" s="4">
        <v>45052</v>
      </c>
      <c r="H127" s="5">
        <v>205</v>
      </c>
      <c r="I127" s="5">
        <v>486.68</v>
      </c>
      <c r="J127" s="5">
        <v>113.19</v>
      </c>
    </row>
    <row r="128" spans="1:10" ht="28.9" thickBot="1" x14ac:dyDescent="0.5">
      <c r="A128" s="3" t="s">
        <v>155</v>
      </c>
      <c r="B128" s="3" t="s">
        <v>48</v>
      </c>
      <c r="C128" s="3" t="s">
        <v>12</v>
      </c>
      <c r="D128" s="3" t="s">
        <v>42</v>
      </c>
      <c r="E128" s="3" t="s">
        <v>24</v>
      </c>
      <c r="F128" s="3" t="s">
        <v>28</v>
      </c>
      <c r="G128" s="4">
        <v>45053</v>
      </c>
      <c r="H128" s="5">
        <v>413</v>
      </c>
      <c r="I128" s="5">
        <v>292.16000000000003</v>
      </c>
      <c r="J128" s="5">
        <v>372.27</v>
      </c>
    </row>
    <row r="129" spans="1:10" ht="28.9" thickBot="1" x14ac:dyDescent="0.5">
      <c r="A129" s="3" t="s">
        <v>156</v>
      </c>
      <c r="B129" s="3" t="s">
        <v>22</v>
      </c>
      <c r="C129" s="3" t="s">
        <v>26</v>
      </c>
      <c r="D129" s="3" t="s">
        <v>42</v>
      </c>
      <c r="E129" s="3" t="s">
        <v>24</v>
      </c>
      <c r="F129" s="3" t="s">
        <v>15</v>
      </c>
      <c r="G129" s="4">
        <v>45054</v>
      </c>
      <c r="H129" s="5">
        <v>361</v>
      </c>
      <c r="I129" s="5">
        <v>130.84</v>
      </c>
      <c r="J129" s="5">
        <v>102.72</v>
      </c>
    </row>
    <row r="130" spans="1:10" ht="14.65" thickBot="1" x14ac:dyDescent="0.5">
      <c r="A130" s="3" t="s">
        <v>157</v>
      </c>
      <c r="B130" s="3" t="s">
        <v>17</v>
      </c>
      <c r="C130" s="3" t="s">
        <v>26</v>
      </c>
      <c r="D130" s="3" t="s">
        <v>27</v>
      </c>
      <c r="E130" s="3" t="s">
        <v>14</v>
      </c>
      <c r="F130" s="3" t="s">
        <v>15</v>
      </c>
      <c r="G130" s="4">
        <v>45055</v>
      </c>
      <c r="H130" s="5">
        <v>493</v>
      </c>
      <c r="I130" s="5">
        <v>263.26</v>
      </c>
      <c r="J130" s="5">
        <v>312.91000000000003</v>
      </c>
    </row>
    <row r="131" spans="1:10" ht="14.65" thickBot="1" x14ac:dyDescent="0.5">
      <c r="A131" s="3" t="s">
        <v>158</v>
      </c>
      <c r="B131" s="3" t="s">
        <v>17</v>
      </c>
      <c r="C131" s="3" t="s">
        <v>31</v>
      </c>
      <c r="D131" s="3" t="s">
        <v>19</v>
      </c>
      <c r="E131" s="3" t="s">
        <v>24</v>
      </c>
      <c r="F131" s="3" t="s">
        <v>15</v>
      </c>
      <c r="G131" s="4">
        <v>45056</v>
      </c>
      <c r="H131" s="5">
        <v>251</v>
      </c>
      <c r="I131" s="5">
        <v>174.61</v>
      </c>
      <c r="J131" s="5">
        <v>330.4</v>
      </c>
    </row>
    <row r="132" spans="1:10" ht="14.65" thickBot="1" x14ac:dyDescent="0.5">
      <c r="A132" s="3" t="s">
        <v>159</v>
      </c>
      <c r="B132" s="3" t="s">
        <v>17</v>
      </c>
      <c r="C132" s="3" t="s">
        <v>18</v>
      </c>
      <c r="D132" s="3" t="s">
        <v>27</v>
      </c>
      <c r="E132" s="3" t="s">
        <v>24</v>
      </c>
      <c r="F132" s="3" t="s">
        <v>15</v>
      </c>
      <c r="G132" s="4">
        <v>45057</v>
      </c>
      <c r="H132" s="3"/>
      <c r="I132" s="5">
        <v>268.45999999999998</v>
      </c>
      <c r="J132" s="5">
        <v>199.19</v>
      </c>
    </row>
    <row r="133" spans="1:10" ht="14.65" thickBot="1" x14ac:dyDescent="0.5">
      <c r="A133" s="3" t="s">
        <v>160</v>
      </c>
      <c r="B133" s="3" t="s">
        <v>22</v>
      </c>
      <c r="C133" s="3" t="s">
        <v>26</v>
      </c>
      <c r="D133" s="3" t="s">
        <v>27</v>
      </c>
      <c r="E133" s="3" t="s">
        <v>24</v>
      </c>
      <c r="F133" s="3" t="s">
        <v>15</v>
      </c>
      <c r="G133" s="4">
        <v>45058</v>
      </c>
      <c r="H133" s="5">
        <v>228</v>
      </c>
      <c r="I133" s="5">
        <v>67.239999999999995</v>
      </c>
      <c r="J133" s="5">
        <v>155.77000000000001</v>
      </c>
    </row>
    <row r="134" spans="1:10" ht="14.65" thickBot="1" x14ac:dyDescent="0.5">
      <c r="A134" s="3" t="s">
        <v>161</v>
      </c>
      <c r="B134" s="3" t="s">
        <v>22</v>
      </c>
      <c r="C134" s="3" t="s">
        <v>50</v>
      </c>
      <c r="D134" s="3" t="s">
        <v>27</v>
      </c>
      <c r="E134" s="3" t="s">
        <v>14</v>
      </c>
      <c r="F134" s="3" t="s">
        <v>15</v>
      </c>
      <c r="G134" s="4">
        <v>45059</v>
      </c>
      <c r="H134" s="5">
        <v>201</v>
      </c>
      <c r="I134" s="5">
        <v>70.69</v>
      </c>
      <c r="J134" s="5">
        <v>181.15</v>
      </c>
    </row>
    <row r="135" spans="1:10" ht="14.65" thickBot="1" x14ac:dyDescent="0.5">
      <c r="A135" s="3" t="s">
        <v>162</v>
      </c>
      <c r="B135" s="3" t="s">
        <v>22</v>
      </c>
      <c r="C135" s="3" t="s">
        <v>26</v>
      </c>
      <c r="D135" s="3" t="s">
        <v>23</v>
      </c>
      <c r="E135" s="3" t="s">
        <v>14</v>
      </c>
      <c r="F135" s="3" t="s">
        <v>15</v>
      </c>
      <c r="G135" s="4">
        <v>45060</v>
      </c>
      <c r="H135" s="5">
        <v>26</v>
      </c>
      <c r="I135" s="5">
        <v>76.05</v>
      </c>
      <c r="J135" s="5">
        <v>92.33</v>
      </c>
    </row>
    <row r="136" spans="1:10" ht="14.65" thickBot="1" x14ac:dyDescent="0.5">
      <c r="A136" s="3" t="s">
        <v>163</v>
      </c>
      <c r="B136" s="3" t="s">
        <v>11</v>
      </c>
      <c r="C136" s="3" t="s">
        <v>26</v>
      </c>
      <c r="D136" s="3" t="s">
        <v>23</v>
      </c>
      <c r="E136" s="3" t="s">
        <v>14</v>
      </c>
      <c r="F136" s="3" t="s">
        <v>20</v>
      </c>
      <c r="G136" s="4">
        <v>45061</v>
      </c>
      <c r="H136" s="5">
        <v>21</v>
      </c>
      <c r="I136" s="5">
        <v>470.21</v>
      </c>
      <c r="J136" s="5">
        <v>355.98</v>
      </c>
    </row>
    <row r="137" spans="1:10" ht="14.65" thickBot="1" x14ac:dyDescent="0.5">
      <c r="A137" s="3" t="s">
        <v>164</v>
      </c>
      <c r="B137" s="3" t="s">
        <v>22</v>
      </c>
      <c r="C137" s="3" t="s">
        <v>18</v>
      </c>
      <c r="D137" s="3" t="s">
        <v>27</v>
      </c>
      <c r="E137" s="3" t="s">
        <v>24</v>
      </c>
      <c r="F137" s="3" t="s">
        <v>28</v>
      </c>
      <c r="G137" s="4">
        <v>45062</v>
      </c>
      <c r="H137" s="5">
        <v>415</v>
      </c>
      <c r="I137" s="5">
        <v>367.78</v>
      </c>
      <c r="J137" s="5">
        <v>181.35</v>
      </c>
    </row>
    <row r="138" spans="1:10" ht="14.65" thickBot="1" x14ac:dyDescent="0.5">
      <c r="A138" s="3" t="s">
        <v>165</v>
      </c>
      <c r="B138" s="3" t="s">
        <v>22</v>
      </c>
      <c r="C138" s="3" t="s">
        <v>12</v>
      </c>
      <c r="D138" s="3" t="s">
        <v>19</v>
      </c>
      <c r="E138" s="3" t="s">
        <v>24</v>
      </c>
      <c r="F138" s="3" t="s">
        <v>15</v>
      </c>
      <c r="G138" s="4">
        <v>45063</v>
      </c>
      <c r="H138" s="5">
        <v>410</v>
      </c>
      <c r="I138" s="5">
        <v>85.38</v>
      </c>
      <c r="J138" s="5">
        <v>353.22</v>
      </c>
    </row>
    <row r="139" spans="1:10" ht="28.9" thickBot="1" x14ac:dyDescent="0.5">
      <c r="A139" s="3" t="s">
        <v>166</v>
      </c>
      <c r="B139" s="3" t="s">
        <v>22</v>
      </c>
      <c r="C139" s="3" t="s">
        <v>26</v>
      </c>
      <c r="D139" s="3" t="s">
        <v>42</v>
      </c>
      <c r="E139" s="3" t="s">
        <v>14</v>
      </c>
      <c r="F139" s="3" t="s">
        <v>20</v>
      </c>
      <c r="G139" s="4">
        <v>45064</v>
      </c>
      <c r="H139" s="5">
        <v>403</v>
      </c>
      <c r="I139" s="5">
        <v>98.23</v>
      </c>
      <c r="J139" s="5">
        <v>44.07</v>
      </c>
    </row>
    <row r="140" spans="1:10" ht="14.65" thickBot="1" x14ac:dyDescent="0.5">
      <c r="A140" s="3" t="s">
        <v>167</v>
      </c>
      <c r="B140" s="3" t="s">
        <v>11</v>
      </c>
      <c r="C140" s="3" t="s">
        <v>31</v>
      </c>
      <c r="D140" s="3" t="s">
        <v>19</v>
      </c>
      <c r="E140" s="3" t="s">
        <v>24</v>
      </c>
      <c r="F140" s="3" t="s">
        <v>20</v>
      </c>
      <c r="G140" s="4">
        <v>45065</v>
      </c>
      <c r="H140" s="5">
        <v>383</v>
      </c>
      <c r="I140" s="5">
        <v>366.76</v>
      </c>
      <c r="J140" s="5">
        <v>395.33</v>
      </c>
    </row>
    <row r="141" spans="1:10" ht="14.65" thickBot="1" x14ac:dyDescent="0.5">
      <c r="A141" s="3" t="s">
        <v>168</v>
      </c>
      <c r="B141" s="3" t="s">
        <v>22</v>
      </c>
      <c r="C141" s="3" t="s">
        <v>12</v>
      </c>
      <c r="D141" s="3" t="s">
        <v>13</v>
      </c>
      <c r="E141" s="3" t="s">
        <v>24</v>
      </c>
      <c r="F141" s="3" t="s">
        <v>20</v>
      </c>
      <c r="G141" s="4">
        <v>45066</v>
      </c>
      <c r="H141" s="5">
        <v>202</v>
      </c>
      <c r="I141" s="5">
        <v>82.3</v>
      </c>
      <c r="J141" s="5">
        <v>178.42</v>
      </c>
    </row>
    <row r="142" spans="1:10" ht="14.65" thickBot="1" x14ac:dyDescent="0.5">
      <c r="A142" s="3" t="s">
        <v>169</v>
      </c>
      <c r="B142" s="3" t="s">
        <v>17</v>
      </c>
      <c r="C142" s="3" t="s">
        <v>50</v>
      </c>
      <c r="D142" s="3" t="s">
        <v>23</v>
      </c>
      <c r="E142" s="3" t="s">
        <v>24</v>
      </c>
      <c r="F142" s="3" t="s">
        <v>28</v>
      </c>
      <c r="G142" s="4">
        <v>45067</v>
      </c>
      <c r="H142" s="5">
        <v>31</v>
      </c>
      <c r="I142" s="5">
        <v>121.11</v>
      </c>
      <c r="J142" s="5">
        <v>21.04</v>
      </c>
    </row>
    <row r="143" spans="1:10" ht="28.9" thickBot="1" x14ac:dyDescent="0.5">
      <c r="A143" s="3" t="s">
        <v>170</v>
      </c>
      <c r="B143" s="3" t="s">
        <v>22</v>
      </c>
      <c r="C143" s="3" t="s">
        <v>18</v>
      </c>
      <c r="D143" s="3" t="s">
        <v>42</v>
      </c>
      <c r="E143" s="3" t="s">
        <v>24</v>
      </c>
      <c r="F143" s="3" t="s">
        <v>15</v>
      </c>
      <c r="G143" s="4">
        <v>45068</v>
      </c>
      <c r="H143" s="5">
        <v>483</v>
      </c>
      <c r="I143" s="5">
        <v>481.86</v>
      </c>
      <c r="J143" s="5">
        <v>17.13</v>
      </c>
    </row>
    <row r="144" spans="1:10" ht="28.9" thickBot="1" x14ac:dyDescent="0.5">
      <c r="A144" s="3" t="s">
        <v>171</v>
      </c>
      <c r="B144" s="3" t="s">
        <v>17</v>
      </c>
      <c r="C144" s="3" t="s">
        <v>50</v>
      </c>
      <c r="D144" s="3" t="s">
        <v>42</v>
      </c>
      <c r="E144" s="3" t="s">
        <v>24</v>
      </c>
      <c r="F144" s="3" t="s">
        <v>20</v>
      </c>
      <c r="G144" s="4">
        <v>45069</v>
      </c>
      <c r="H144" s="5">
        <v>129</v>
      </c>
      <c r="I144" s="5">
        <v>131.38</v>
      </c>
      <c r="J144" s="5">
        <v>298.99</v>
      </c>
    </row>
    <row r="145" spans="1:10" ht="14.65" thickBot="1" x14ac:dyDescent="0.5">
      <c r="A145" s="3" t="s">
        <v>172</v>
      </c>
      <c r="B145" s="3" t="s">
        <v>17</v>
      </c>
      <c r="C145" s="3" t="s">
        <v>12</v>
      </c>
      <c r="D145" s="3" t="s">
        <v>13</v>
      </c>
      <c r="E145" s="3" t="s">
        <v>14</v>
      </c>
      <c r="F145" s="3" t="s">
        <v>28</v>
      </c>
      <c r="G145" s="4">
        <v>45070</v>
      </c>
      <c r="H145" s="5">
        <v>219</v>
      </c>
      <c r="I145" s="5">
        <v>332.51</v>
      </c>
      <c r="J145" s="5">
        <v>264.3</v>
      </c>
    </row>
    <row r="146" spans="1:10" ht="14.65" thickBot="1" x14ac:dyDescent="0.5">
      <c r="A146" s="3" t="s">
        <v>173</v>
      </c>
      <c r="B146" s="3" t="s">
        <v>17</v>
      </c>
      <c r="C146" s="3" t="s">
        <v>12</v>
      </c>
      <c r="D146" s="3" t="s">
        <v>13</v>
      </c>
      <c r="E146" s="3" t="s">
        <v>24</v>
      </c>
      <c r="F146" s="3" t="s">
        <v>28</v>
      </c>
      <c r="G146" s="4">
        <v>45071</v>
      </c>
      <c r="H146" s="5">
        <v>315</v>
      </c>
      <c r="I146" s="5">
        <v>489.42</v>
      </c>
      <c r="J146" s="5">
        <v>321.25</v>
      </c>
    </row>
    <row r="147" spans="1:10" ht="14.65" thickBot="1" x14ac:dyDescent="0.5">
      <c r="A147" s="3" t="s">
        <v>174</v>
      </c>
      <c r="B147" s="3" t="s">
        <v>11</v>
      </c>
      <c r="C147" s="3" t="s">
        <v>12</v>
      </c>
      <c r="D147" s="3" t="s">
        <v>27</v>
      </c>
      <c r="E147" s="3" t="s">
        <v>14</v>
      </c>
      <c r="F147" s="3" t="s">
        <v>28</v>
      </c>
      <c r="G147" s="4">
        <v>45072</v>
      </c>
      <c r="H147" s="5">
        <v>279</v>
      </c>
      <c r="I147" s="5">
        <v>190.28</v>
      </c>
      <c r="J147" s="5">
        <v>43.94</v>
      </c>
    </row>
    <row r="148" spans="1:10" ht="14.65" thickBot="1" x14ac:dyDescent="0.5">
      <c r="A148" s="3" t="s">
        <v>175</v>
      </c>
      <c r="B148" s="3" t="s">
        <v>11</v>
      </c>
      <c r="C148" s="3" t="s">
        <v>50</v>
      </c>
      <c r="D148" s="3" t="s">
        <v>23</v>
      </c>
      <c r="E148" s="3" t="s">
        <v>24</v>
      </c>
      <c r="F148" s="3" t="s">
        <v>20</v>
      </c>
      <c r="G148" s="4">
        <v>45073</v>
      </c>
      <c r="H148" s="5">
        <v>201</v>
      </c>
      <c r="I148" s="5">
        <v>13.67</v>
      </c>
      <c r="J148" s="5">
        <v>16.16</v>
      </c>
    </row>
    <row r="149" spans="1:10" ht="14.65" thickBot="1" x14ac:dyDescent="0.5">
      <c r="A149" s="3" t="s">
        <v>176</v>
      </c>
      <c r="B149" s="3" t="s">
        <v>11</v>
      </c>
      <c r="C149" s="3" t="s">
        <v>12</v>
      </c>
      <c r="D149" s="3" t="s">
        <v>23</v>
      </c>
      <c r="E149" s="3" t="s">
        <v>14</v>
      </c>
      <c r="F149" s="3" t="s">
        <v>15</v>
      </c>
      <c r="G149" s="4">
        <v>45074</v>
      </c>
      <c r="H149" s="5">
        <v>184</v>
      </c>
      <c r="I149" s="5">
        <v>125.85</v>
      </c>
      <c r="J149" s="5">
        <v>204.41</v>
      </c>
    </row>
    <row r="150" spans="1:10" ht="14.65" thickBot="1" x14ac:dyDescent="0.5">
      <c r="A150" s="3" t="s">
        <v>177</v>
      </c>
      <c r="B150" s="3" t="s">
        <v>22</v>
      </c>
      <c r="C150" s="3" t="s">
        <v>50</v>
      </c>
      <c r="D150" s="3" t="s">
        <v>19</v>
      </c>
      <c r="E150" s="3" t="s">
        <v>24</v>
      </c>
      <c r="F150" s="3" t="s">
        <v>20</v>
      </c>
      <c r="G150" s="4">
        <v>45075</v>
      </c>
      <c r="H150" s="5">
        <v>294</v>
      </c>
      <c r="I150" s="5">
        <v>416.28</v>
      </c>
      <c r="J150" s="5">
        <v>156.26</v>
      </c>
    </row>
    <row r="151" spans="1:10" ht="14.65" thickBot="1" x14ac:dyDescent="0.5">
      <c r="A151" s="3" t="s">
        <v>178</v>
      </c>
      <c r="B151" s="3" t="s">
        <v>17</v>
      </c>
      <c r="C151" s="3" t="s">
        <v>12</v>
      </c>
      <c r="D151" s="3" t="s">
        <v>27</v>
      </c>
      <c r="E151" s="3" t="s">
        <v>14</v>
      </c>
      <c r="F151" s="3" t="s">
        <v>20</v>
      </c>
      <c r="G151" s="4">
        <v>45076</v>
      </c>
      <c r="H151" s="5">
        <v>213</v>
      </c>
      <c r="I151" s="5">
        <v>432.98</v>
      </c>
      <c r="J151" s="5">
        <v>185.85</v>
      </c>
    </row>
    <row r="152" spans="1:10" ht="14.65" thickBot="1" x14ac:dyDescent="0.5">
      <c r="A152" s="3" t="s">
        <v>179</v>
      </c>
      <c r="B152" s="3" t="s">
        <v>11</v>
      </c>
      <c r="C152" s="3" t="s">
        <v>31</v>
      </c>
      <c r="D152" s="3" t="s">
        <v>27</v>
      </c>
      <c r="E152" s="3" t="s">
        <v>24</v>
      </c>
      <c r="F152" s="3" t="s">
        <v>15</v>
      </c>
      <c r="G152" s="4">
        <v>45077</v>
      </c>
      <c r="H152" s="5">
        <v>173</v>
      </c>
      <c r="I152" s="5">
        <v>385.42</v>
      </c>
      <c r="J152" s="5">
        <v>396.65</v>
      </c>
    </row>
    <row r="153" spans="1:10" ht="14.65" thickBot="1" x14ac:dyDescent="0.5">
      <c r="A153" s="3" t="s">
        <v>180</v>
      </c>
      <c r="B153" s="3" t="s">
        <v>11</v>
      </c>
      <c r="C153" s="3" t="s">
        <v>12</v>
      </c>
      <c r="D153" s="3" t="s">
        <v>27</v>
      </c>
      <c r="E153" s="3" t="s">
        <v>14</v>
      </c>
      <c r="F153" s="3" t="s">
        <v>15</v>
      </c>
      <c r="G153" s="4">
        <v>45078</v>
      </c>
      <c r="H153" s="5">
        <v>260</v>
      </c>
      <c r="I153" s="5">
        <v>60.99</v>
      </c>
      <c r="J153" s="5">
        <v>388.36</v>
      </c>
    </row>
    <row r="154" spans="1:10" ht="14.65" thickBot="1" x14ac:dyDescent="0.5">
      <c r="A154" s="3" t="s">
        <v>181</v>
      </c>
      <c r="B154" s="3" t="s">
        <v>22</v>
      </c>
      <c r="C154" s="3" t="s">
        <v>50</v>
      </c>
      <c r="D154" s="3" t="s">
        <v>27</v>
      </c>
      <c r="E154" s="3" t="s">
        <v>24</v>
      </c>
      <c r="F154" s="3" t="s">
        <v>15</v>
      </c>
      <c r="G154" s="4">
        <v>45079</v>
      </c>
      <c r="H154" s="5">
        <v>236</v>
      </c>
      <c r="I154" s="5">
        <v>398.78</v>
      </c>
      <c r="J154" s="5">
        <v>377.04</v>
      </c>
    </row>
    <row r="155" spans="1:10" ht="14.65" thickBot="1" x14ac:dyDescent="0.5">
      <c r="A155" s="3" t="s">
        <v>182</v>
      </c>
      <c r="B155" s="3" t="s">
        <v>11</v>
      </c>
      <c r="C155" s="3" t="s">
        <v>26</v>
      </c>
      <c r="D155" s="3" t="s">
        <v>23</v>
      </c>
      <c r="E155" s="3" t="s">
        <v>14</v>
      </c>
      <c r="F155" s="3" t="s">
        <v>28</v>
      </c>
      <c r="G155" s="4">
        <v>45080</v>
      </c>
      <c r="H155" s="5">
        <v>445</v>
      </c>
      <c r="I155" s="5">
        <v>459.75</v>
      </c>
      <c r="J155" s="5">
        <v>313.97000000000003</v>
      </c>
    </row>
    <row r="156" spans="1:10" ht="14.65" thickBot="1" x14ac:dyDescent="0.5">
      <c r="A156" s="3" t="s">
        <v>183</v>
      </c>
      <c r="B156" s="3" t="s">
        <v>22</v>
      </c>
      <c r="C156" s="3" t="s">
        <v>12</v>
      </c>
      <c r="D156" s="3" t="s">
        <v>23</v>
      </c>
      <c r="E156" s="3" t="s">
        <v>24</v>
      </c>
      <c r="F156" s="3" t="s">
        <v>15</v>
      </c>
      <c r="G156" s="4">
        <v>45081</v>
      </c>
      <c r="H156" s="5">
        <v>390</v>
      </c>
      <c r="I156" s="5">
        <v>302.3</v>
      </c>
      <c r="J156" s="5">
        <v>143.22999999999999</v>
      </c>
    </row>
    <row r="157" spans="1:10" ht="14.65" thickBot="1" x14ac:dyDescent="0.5">
      <c r="A157" s="3" t="s">
        <v>184</v>
      </c>
      <c r="B157" s="3" t="s">
        <v>48</v>
      </c>
      <c r="C157" s="3" t="s">
        <v>26</v>
      </c>
      <c r="D157" s="3" t="s">
        <v>27</v>
      </c>
      <c r="E157" s="3" t="s">
        <v>14</v>
      </c>
      <c r="F157" s="3" t="s">
        <v>20</v>
      </c>
      <c r="G157" s="4">
        <v>45082</v>
      </c>
      <c r="H157" s="5">
        <v>469</v>
      </c>
      <c r="I157" s="5">
        <v>470.73</v>
      </c>
      <c r="J157" s="5">
        <v>166.03</v>
      </c>
    </row>
    <row r="158" spans="1:10" ht="14.65" thickBot="1" x14ac:dyDescent="0.5">
      <c r="A158" s="3" t="s">
        <v>185</v>
      </c>
      <c r="B158" s="3" t="s">
        <v>11</v>
      </c>
      <c r="C158" s="3" t="s">
        <v>31</v>
      </c>
      <c r="D158" s="3" t="s">
        <v>19</v>
      </c>
      <c r="E158" s="3" t="s">
        <v>14</v>
      </c>
      <c r="F158" s="3" t="s">
        <v>15</v>
      </c>
      <c r="G158" s="4">
        <v>45083</v>
      </c>
      <c r="H158" s="5">
        <v>16</v>
      </c>
      <c r="I158" s="3"/>
      <c r="J158" s="5">
        <v>220.75</v>
      </c>
    </row>
    <row r="159" spans="1:10" ht="28.9" thickBot="1" x14ac:dyDescent="0.5">
      <c r="A159" s="3" t="s">
        <v>186</v>
      </c>
      <c r="B159" s="3" t="s">
        <v>48</v>
      </c>
      <c r="C159" s="3" t="s">
        <v>18</v>
      </c>
      <c r="D159" s="3" t="s">
        <v>42</v>
      </c>
      <c r="E159" s="3" t="s">
        <v>24</v>
      </c>
      <c r="F159" s="3" t="s">
        <v>20</v>
      </c>
      <c r="G159" s="4">
        <v>45084</v>
      </c>
      <c r="H159" s="5">
        <v>38</v>
      </c>
      <c r="I159" s="5">
        <v>335.15</v>
      </c>
      <c r="J159" s="5">
        <v>332.55</v>
      </c>
    </row>
    <row r="160" spans="1:10" ht="14.65" thickBot="1" x14ac:dyDescent="0.5">
      <c r="A160" s="3" t="s">
        <v>187</v>
      </c>
      <c r="B160" s="3" t="s">
        <v>22</v>
      </c>
      <c r="C160" s="3" t="s">
        <v>31</v>
      </c>
      <c r="D160" s="3"/>
      <c r="E160" s="3" t="s">
        <v>24</v>
      </c>
      <c r="F160" s="3" t="s">
        <v>28</v>
      </c>
      <c r="G160" s="4">
        <v>45085</v>
      </c>
      <c r="H160" s="5">
        <v>404</v>
      </c>
      <c r="I160" s="5">
        <v>290.70999999999998</v>
      </c>
      <c r="J160" s="5">
        <v>29.35</v>
      </c>
    </row>
    <row r="161" spans="1:10" ht="14.65" thickBot="1" x14ac:dyDescent="0.5">
      <c r="A161" s="3" t="s">
        <v>188</v>
      </c>
      <c r="B161" s="3" t="s">
        <v>17</v>
      </c>
      <c r="C161" s="3" t="s">
        <v>12</v>
      </c>
      <c r="D161" s="3" t="s">
        <v>19</v>
      </c>
      <c r="E161" s="3" t="s">
        <v>14</v>
      </c>
      <c r="F161" s="3" t="s">
        <v>20</v>
      </c>
      <c r="G161" s="4">
        <v>45086</v>
      </c>
      <c r="H161" s="5">
        <v>42</v>
      </c>
      <c r="I161" s="5">
        <v>177.54</v>
      </c>
      <c r="J161" s="5">
        <v>170.87</v>
      </c>
    </row>
    <row r="162" spans="1:10" ht="14.65" thickBot="1" x14ac:dyDescent="0.5">
      <c r="A162" s="3" t="s">
        <v>189</v>
      </c>
      <c r="B162" s="3" t="s">
        <v>11</v>
      </c>
      <c r="C162" s="3" t="s">
        <v>26</v>
      </c>
      <c r="D162" s="3" t="s">
        <v>27</v>
      </c>
      <c r="E162" s="3" t="s">
        <v>24</v>
      </c>
      <c r="F162" s="3" t="s">
        <v>20</v>
      </c>
      <c r="G162" s="4">
        <v>45087</v>
      </c>
      <c r="H162" s="5">
        <v>143</v>
      </c>
      <c r="I162" s="5">
        <v>83.85</v>
      </c>
      <c r="J162" s="5">
        <v>34.880000000000003</v>
      </c>
    </row>
    <row r="163" spans="1:10" ht="14.65" thickBot="1" x14ac:dyDescent="0.5">
      <c r="A163" s="3" t="s">
        <v>190</v>
      </c>
      <c r="B163" s="3" t="s">
        <v>22</v>
      </c>
      <c r="C163" s="3" t="s">
        <v>26</v>
      </c>
      <c r="D163" s="3" t="s">
        <v>23</v>
      </c>
      <c r="E163" s="3" t="s">
        <v>14</v>
      </c>
      <c r="F163" s="3" t="s">
        <v>15</v>
      </c>
      <c r="G163" s="4">
        <v>45088</v>
      </c>
      <c r="H163" s="5">
        <v>376</v>
      </c>
      <c r="I163" s="5">
        <v>304.45</v>
      </c>
      <c r="J163" s="5">
        <v>206.83</v>
      </c>
    </row>
    <row r="164" spans="1:10" ht="28.9" thickBot="1" x14ac:dyDescent="0.5">
      <c r="A164" s="3" t="s">
        <v>191</v>
      </c>
      <c r="B164" s="3" t="s">
        <v>17</v>
      </c>
      <c r="C164" s="3" t="s">
        <v>50</v>
      </c>
      <c r="D164" s="3" t="s">
        <v>42</v>
      </c>
      <c r="E164" s="3" t="s">
        <v>14</v>
      </c>
      <c r="F164" s="3" t="s">
        <v>15</v>
      </c>
      <c r="G164" s="4">
        <v>45089</v>
      </c>
      <c r="H164" s="5">
        <v>88</v>
      </c>
      <c r="I164" s="5">
        <v>162.47</v>
      </c>
      <c r="J164" s="5">
        <v>359.76</v>
      </c>
    </row>
    <row r="165" spans="1:10" ht="14.65" thickBot="1" x14ac:dyDescent="0.5">
      <c r="A165" s="3" t="s">
        <v>192</v>
      </c>
      <c r="B165" s="3" t="s">
        <v>17</v>
      </c>
      <c r="C165" s="3" t="s">
        <v>26</v>
      </c>
      <c r="D165" s="3" t="s">
        <v>13</v>
      </c>
      <c r="E165" s="3" t="s">
        <v>14</v>
      </c>
      <c r="F165" s="3" t="s">
        <v>20</v>
      </c>
      <c r="G165" s="4">
        <v>45090</v>
      </c>
      <c r="H165" s="5">
        <v>425</v>
      </c>
      <c r="I165" s="5">
        <v>433.89</v>
      </c>
      <c r="J165" s="5">
        <v>313.43</v>
      </c>
    </row>
    <row r="166" spans="1:10" ht="14.65" thickBot="1" x14ac:dyDescent="0.5">
      <c r="A166" s="3" t="s">
        <v>193</v>
      </c>
      <c r="B166" s="3" t="s">
        <v>48</v>
      </c>
      <c r="C166" s="3" t="s">
        <v>50</v>
      </c>
      <c r="D166" s="3" t="s">
        <v>13</v>
      </c>
      <c r="E166" s="3" t="s">
        <v>24</v>
      </c>
      <c r="F166" s="3" t="s">
        <v>15</v>
      </c>
      <c r="G166" s="4">
        <v>45091</v>
      </c>
      <c r="H166" s="5">
        <v>444</v>
      </c>
      <c r="I166" s="5">
        <v>496.7</v>
      </c>
      <c r="J166" s="5">
        <v>92.68</v>
      </c>
    </row>
    <row r="167" spans="1:10" ht="14.65" thickBot="1" x14ac:dyDescent="0.5">
      <c r="A167" s="3" t="s">
        <v>194</v>
      </c>
      <c r="B167" s="3" t="s">
        <v>22</v>
      </c>
      <c r="C167" s="3" t="s">
        <v>18</v>
      </c>
      <c r="D167" s="3" t="s">
        <v>19</v>
      </c>
      <c r="E167" s="3" t="s">
        <v>14</v>
      </c>
      <c r="F167" s="3" t="s">
        <v>28</v>
      </c>
      <c r="G167" s="4">
        <v>45092</v>
      </c>
      <c r="H167" s="5">
        <v>468</v>
      </c>
      <c r="I167" s="5">
        <v>377.45</v>
      </c>
      <c r="J167" s="5">
        <v>390.44</v>
      </c>
    </row>
    <row r="168" spans="1:10" ht="14.65" thickBot="1" x14ac:dyDescent="0.5">
      <c r="A168" s="3" t="s">
        <v>195</v>
      </c>
      <c r="B168" s="3" t="s">
        <v>17</v>
      </c>
      <c r="C168" s="3" t="s">
        <v>12</v>
      </c>
      <c r="D168" s="3" t="s">
        <v>27</v>
      </c>
      <c r="E168" s="3" t="s">
        <v>14</v>
      </c>
      <c r="F168" s="3" t="s">
        <v>28</v>
      </c>
      <c r="G168" s="4">
        <v>45093</v>
      </c>
      <c r="H168" s="5">
        <v>67</v>
      </c>
      <c r="I168" s="5">
        <v>49.79</v>
      </c>
      <c r="J168" s="5">
        <v>267.61</v>
      </c>
    </row>
    <row r="169" spans="1:10" ht="28.9" thickBot="1" x14ac:dyDescent="0.5">
      <c r="A169" s="3" t="s">
        <v>196</v>
      </c>
      <c r="B169" s="3" t="s">
        <v>11</v>
      </c>
      <c r="C169" s="3" t="s">
        <v>50</v>
      </c>
      <c r="D169" s="3" t="s">
        <v>42</v>
      </c>
      <c r="E169" s="3" t="s">
        <v>24</v>
      </c>
      <c r="F169" s="3" t="s">
        <v>15</v>
      </c>
      <c r="G169" s="4">
        <v>45094</v>
      </c>
      <c r="H169" s="5">
        <v>480</v>
      </c>
      <c r="I169" s="5">
        <v>147.9</v>
      </c>
      <c r="J169" s="5">
        <v>6.15</v>
      </c>
    </row>
    <row r="170" spans="1:10" ht="14.65" thickBot="1" x14ac:dyDescent="0.5">
      <c r="A170" s="3" t="s">
        <v>197</v>
      </c>
      <c r="B170" s="3" t="s">
        <v>11</v>
      </c>
      <c r="C170" s="3" t="s">
        <v>18</v>
      </c>
      <c r="D170" s="3" t="s">
        <v>27</v>
      </c>
      <c r="E170" s="3" t="s">
        <v>24</v>
      </c>
      <c r="F170" s="3" t="s">
        <v>28</v>
      </c>
      <c r="G170" s="4">
        <v>45095</v>
      </c>
      <c r="H170" s="5">
        <v>35</v>
      </c>
      <c r="I170" s="5">
        <v>59.01</v>
      </c>
      <c r="J170" s="5">
        <v>103.65</v>
      </c>
    </row>
    <row r="171" spans="1:10" ht="28.9" thickBot="1" x14ac:dyDescent="0.5">
      <c r="A171" s="3" t="s">
        <v>198</v>
      </c>
      <c r="B171" s="3" t="s">
        <v>48</v>
      </c>
      <c r="C171" s="3" t="s">
        <v>26</v>
      </c>
      <c r="D171" s="3" t="s">
        <v>42</v>
      </c>
      <c r="E171" s="3" t="s">
        <v>24</v>
      </c>
      <c r="F171" s="3" t="s">
        <v>15</v>
      </c>
      <c r="G171" s="4">
        <v>45096</v>
      </c>
      <c r="H171" s="5">
        <v>491</v>
      </c>
      <c r="I171" s="5">
        <v>327</v>
      </c>
      <c r="J171" s="5">
        <v>105.76</v>
      </c>
    </row>
    <row r="172" spans="1:10" ht="14.65" thickBot="1" x14ac:dyDescent="0.5">
      <c r="A172" s="3" t="s">
        <v>199</v>
      </c>
      <c r="B172" s="3" t="s">
        <v>17</v>
      </c>
      <c r="C172" s="3" t="s">
        <v>26</v>
      </c>
      <c r="D172" s="3" t="s">
        <v>19</v>
      </c>
      <c r="E172" s="3" t="s">
        <v>24</v>
      </c>
      <c r="F172" s="3" t="s">
        <v>20</v>
      </c>
      <c r="G172" s="4">
        <v>45097</v>
      </c>
      <c r="H172" s="5">
        <v>439</v>
      </c>
      <c r="I172" s="5">
        <v>383.77</v>
      </c>
      <c r="J172" s="5">
        <v>29.56</v>
      </c>
    </row>
    <row r="173" spans="1:10" ht="14.65" thickBot="1" x14ac:dyDescent="0.5">
      <c r="A173" s="3" t="s">
        <v>200</v>
      </c>
      <c r="B173" s="3" t="s">
        <v>22</v>
      </c>
      <c r="C173" s="3" t="s">
        <v>18</v>
      </c>
      <c r="D173" s="3" t="s">
        <v>19</v>
      </c>
      <c r="E173" s="3" t="s">
        <v>14</v>
      </c>
      <c r="F173" s="3" t="s">
        <v>20</v>
      </c>
      <c r="G173" s="4">
        <v>45098</v>
      </c>
      <c r="H173" s="5">
        <v>235</v>
      </c>
      <c r="I173" s="5">
        <v>463.21</v>
      </c>
      <c r="J173" s="5">
        <v>384.01</v>
      </c>
    </row>
    <row r="174" spans="1:10" ht="14.65" thickBot="1" x14ac:dyDescent="0.5">
      <c r="A174" s="3" t="s">
        <v>201</v>
      </c>
      <c r="B174" s="3" t="s">
        <v>11</v>
      </c>
      <c r="C174" s="3" t="s">
        <v>26</v>
      </c>
      <c r="D174" s="3" t="s">
        <v>13</v>
      </c>
      <c r="E174" s="3" t="s">
        <v>14</v>
      </c>
      <c r="F174" s="3" t="s">
        <v>28</v>
      </c>
      <c r="G174" s="4">
        <v>45099</v>
      </c>
      <c r="H174" s="5">
        <v>294</v>
      </c>
      <c r="I174" s="5">
        <v>221.9</v>
      </c>
      <c r="J174" s="5">
        <v>192.35</v>
      </c>
    </row>
    <row r="175" spans="1:10" ht="14.65" thickBot="1" x14ac:dyDescent="0.5">
      <c r="A175" s="3" t="s">
        <v>202</v>
      </c>
      <c r="B175" s="3" t="s">
        <v>17</v>
      </c>
      <c r="C175" s="3" t="s">
        <v>18</v>
      </c>
      <c r="D175" s="3" t="s">
        <v>27</v>
      </c>
      <c r="E175" s="3" t="s">
        <v>14</v>
      </c>
      <c r="F175" s="3" t="s">
        <v>15</v>
      </c>
      <c r="G175" s="4">
        <v>45100</v>
      </c>
      <c r="H175" s="5">
        <v>13</v>
      </c>
      <c r="I175" s="5">
        <v>451.18</v>
      </c>
      <c r="J175" s="5">
        <v>358.53</v>
      </c>
    </row>
    <row r="176" spans="1:10" ht="14.65" thickBot="1" x14ac:dyDescent="0.5">
      <c r="A176" s="3" t="s">
        <v>203</v>
      </c>
      <c r="B176" s="3" t="s">
        <v>17</v>
      </c>
      <c r="C176" s="3" t="s">
        <v>50</v>
      </c>
      <c r="D176" s="3" t="s">
        <v>13</v>
      </c>
      <c r="E176" s="3" t="s">
        <v>14</v>
      </c>
      <c r="F176" s="3" t="s">
        <v>15</v>
      </c>
      <c r="G176" s="4">
        <v>45101</v>
      </c>
      <c r="H176" s="5">
        <v>474</v>
      </c>
      <c r="I176" s="5">
        <v>439.56</v>
      </c>
      <c r="J176" s="5">
        <v>130.24</v>
      </c>
    </row>
    <row r="177" spans="1:10" ht="14.65" thickBot="1" x14ac:dyDescent="0.5">
      <c r="A177" s="3" t="s">
        <v>204</v>
      </c>
      <c r="B177" s="3" t="s">
        <v>48</v>
      </c>
      <c r="C177" s="3" t="s">
        <v>50</v>
      </c>
      <c r="D177" s="3" t="s">
        <v>27</v>
      </c>
      <c r="E177" s="3" t="s">
        <v>24</v>
      </c>
      <c r="F177" s="3" t="s">
        <v>28</v>
      </c>
      <c r="G177" s="4">
        <v>45102</v>
      </c>
      <c r="H177" s="5">
        <v>108</v>
      </c>
      <c r="I177" s="5">
        <v>162.01</v>
      </c>
      <c r="J177" s="5">
        <v>51.84</v>
      </c>
    </row>
    <row r="178" spans="1:10" ht="14.65" thickBot="1" x14ac:dyDescent="0.5">
      <c r="A178" s="3" t="s">
        <v>205</v>
      </c>
      <c r="B178" s="3" t="s">
        <v>11</v>
      </c>
      <c r="C178" s="3" t="s">
        <v>18</v>
      </c>
      <c r="D178" s="3" t="s">
        <v>13</v>
      </c>
      <c r="E178" s="3" t="s">
        <v>14</v>
      </c>
      <c r="F178" s="3" t="s">
        <v>20</v>
      </c>
      <c r="G178" s="4">
        <v>45103</v>
      </c>
      <c r="H178" s="5">
        <v>406</v>
      </c>
      <c r="I178" s="5">
        <v>435.11</v>
      </c>
      <c r="J178" s="5">
        <v>190.79</v>
      </c>
    </row>
    <row r="179" spans="1:10" ht="14.65" thickBot="1" x14ac:dyDescent="0.5">
      <c r="A179" s="3" t="s">
        <v>206</v>
      </c>
      <c r="B179" s="3" t="s">
        <v>11</v>
      </c>
      <c r="C179" s="3" t="s">
        <v>50</v>
      </c>
      <c r="D179" s="3" t="s">
        <v>23</v>
      </c>
      <c r="E179" s="3" t="s">
        <v>14</v>
      </c>
      <c r="F179" s="3" t="s">
        <v>28</v>
      </c>
      <c r="G179" s="4">
        <v>45104</v>
      </c>
      <c r="H179" s="5">
        <v>498</v>
      </c>
      <c r="I179" s="5">
        <v>190.96</v>
      </c>
      <c r="J179" s="5">
        <v>47.35</v>
      </c>
    </row>
    <row r="180" spans="1:10" ht="14.65" thickBot="1" x14ac:dyDescent="0.5">
      <c r="A180" s="3" t="s">
        <v>207</v>
      </c>
      <c r="B180" s="3" t="s">
        <v>22</v>
      </c>
      <c r="C180" s="3" t="s">
        <v>50</v>
      </c>
      <c r="D180" s="3" t="s">
        <v>23</v>
      </c>
      <c r="E180" s="3" t="s">
        <v>24</v>
      </c>
      <c r="F180" s="3" t="s">
        <v>20</v>
      </c>
      <c r="G180" s="4">
        <v>45105</v>
      </c>
      <c r="H180" s="5">
        <v>48</v>
      </c>
      <c r="I180" s="5">
        <v>151.94999999999999</v>
      </c>
      <c r="J180" s="5">
        <v>195.43</v>
      </c>
    </row>
    <row r="181" spans="1:10" ht="14.65" thickBot="1" x14ac:dyDescent="0.5">
      <c r="A181" s="3" t="s">
        <v>208</v>
      </c>
      <c r="B181" s="3" t="s">
        <v>11</v>
      </c>
      <c r="C181" s="3" t="s">
        <v>50</v>
      </c>
      <c r="D181" s="3" t="s">
        <v>23</v>
      </c>
      <c r="E181" s="3" t="s">
        <v>14</v>
      </c>
      <c r="F181" s="3" t="s">
        <v>15</v>
      </c>
      <c r="G181" s="4">
        <v>45106</v>
      </c>
      <c r="H181" s="5">
        <v>280</v>
      </c>
      <c r="I181" s="5">
        <v>326.29000000000002</v>
      </c>
      <c r="J181" s="5">
        <v>368.28</v>
      </c>
    </row>
    <row r="182" spans="1:10" ht="14.65" thickBot="1" x14ac:dyDescent="0.5">
      <c r="A182" s="3" t="s">
        <v>209</v>
      </c>
      <c r="B182" s="3" t="s">
        <v>22</v>
      </c>
      <c r="C182" s="3" t="s">
        <v>31</v>
      </c>
      <c r="D182" s="3" t="s">
        <v>23</v>
      </c>
      <c r="E182" s="3" t="s">
        <v>14</v>
      </c>
      <c r="F182" s="3" t="s">
        <v>20</v>
      </c>
      <c r="G182" s="4">
        <v>45107</v>
      </c>
      <c r="H182" s="5">
        <v>384</v>
      </c>
      <c r="I182" s="5">
        <v>167.55</v>
      </c>
      <c r="J182" s="5">
        <v>209.27</v>
      </c>
    </row>
    <row r="183" spans="1:10" ht="28.9" thickBot="1" x14ac:dyDescent="0.5">
      <c r="A183" s="3" t="s">
        <v>210</v>
      </c>
      <c r="B183" s="3" t="s">
        <v>11</v>
      </c>
      <c r="C183" s="3" t="s">
        <v>12</v>
      </c>
      <c r="D183" s="3" t="s">
        <v>42</v>
      </c>
      <c r="E183" s="3" t="s">
        <v>14</v>
      </c>
      <c r="F183" s="3" t="s">
        <v>28</v>
      </c>
      <c r="G183" s="4">
        <v>45108</v>
      </c>
      <c r="H183" s="5">
        <v>294</v>
      </c>
      <c r="I183" s="5">
        <v>316.95</v>
      </c>
      <c r="J183" s="5">
        <v>247.37</v>
      </c>
    </row>
    <row r="184" spans="1:10" ht="14.65" thickBot="1" x14ac:dyDescent="0.5">
      <c r="A184" s="3" t="s">
        <v>211</v>
      </c>
      <c r="B184" s="3" t="s">
        <v>48</v>
      </c>
      <c r="C184" s="3" t="s">
        <v>26</v>
      </c>
      <c r="D184" s="3" t="s">
        <v>23</v>
      </c>
      <c r="E184" s="3" t="s">
        <v>14</v>
      </c>
      <c r="F184" s="3" t="s">
        <v>15</v>
      </c>
      <c r="G184" s="4">
        <v>45109</v>
      </c>
      <c r="H184" s="5">
        <v>166</v>
      </c>
      <c r="I184" s="5">
        <v>306.87</v>
      </c>
      <c r="J184" s="5">
        <v>64.34</v>
      </c>
    </row>
    <row r="185" spans="1:10" ht="14.65" thickBot="1" x14ac:dyDescent="0.5">
      <c r="A185" s="3" t="s">
        <v>212</v>
      </c>
      <c r="B185" s="3" t="s">
        <v>11</v>
      </c>
      <c r="C185" s="3" t="s">
        <v>31</v>
      </c>
      <c r="D185" s="3" t="s">
        <v>19</v>
      </c>
      <c r="E185" s="3" t="s">
        <v>14</v>
      </c>
      <c r="F185" s="3" t="s">
        <v>28</v>
      </c>
      <c r="G185" s="4">
        <v>45110</v>
      </c>
      <c r="H185" s="5">
        <v>84</v>
      </c>
      <c r="I185" s="5">
        <v>283.89999999999998</v>
      </c>
      <c r="J185" s="5">
        <v>19.41</v>
      </c>
    </row>
    <row r="186" spans="1:10" ht="14.65" thickBot="1" x14ac:dyDescent="0.5">
      <c r="A186" s="3" t="s">
        <v>213</v>
      </c>
      <c r="B186" s="3" t="s">
        <v>22</v>
      </c>
      <c r="C186" s="3" t="s">
        <v>50</v>
      </c>
      <c r="D186" s="3" t="s">
        <v>19</v>
      </c>
      <c r="E186" s="3" t="s">
        <v>14</v>
      </c>
      <c r="F186" s="3" t="s">
        <v>28</v>
      </c>
      <c r="G186" s="4">
        <v>45111</v>
      </c>
      <c r="H186" s="5">
        <v>381</v>
      </c>
      <c r="I186" s="5">
        <v>193.31</v>
      </c>
      <c r="J186" s="5">
        <v>46.1</v>
      </c>
    </row>
    <row r="187" spans="1:10" ht="28.9" thickBot="1" x14ac:dyDescent="0.5">
      <c r="A187" s="3" t="s">
        <v>214</v>
      </c>
      <c r="B187" s="3" t="s">
        <v>22</v>
      </c>
      <c r="C187" s="3" t="s">
        <v>18</v>
      </c>
      <c r="D187" s="3" t="s">
        <v>42</v>
      </c>
      <c r="E187" s="3" t="s">
        <v>24</v>
      </c>
      <c r="F187" s="3" t="s">
        <v>20</v>
      </c>
      <c r="G187" s="4">
        <v>45112</v>
      </c>
      <c r="H187" s="5">
        <v>297</v>
      </c>
      <c r="I187" s="5">
        <v>276.51</v>
      </c>
      <c r="J187" s="5">
        <v>240.22</v>
      </c>
    </row>
    <row r="188" spans="1:10" ht="14.65" thickBot="1" x14ac:dyDescent="0.5">
      <c r="A188" s="3" t="s">
        <v>215</v>
      </c>
      <c r="B188" s="3" t="s">
        <v>48</v>
      </c>
      <c r="C188" s="3" t="s">
        <v>50</v>
      </c>
      <c r="D188" s="3" t="s">
        <v>23</v>
      </c>
      <c r="E188" s="3" t="s">
        <v>24</v>
      </c>
      <c r="F188" s="3" t="s">
        <v>28</v>
      </c>
      <c r="G188" s="4">
        <v>45113</v>
      </c>
      <c r="H188" s="5">
        <v>139</v>
      </c>
      <c r="I188" s="5">
        <v>300.26</v>
      </c>
      <c r="J188" s="5">
        <v>39.81</v>
      </c>
    </row>
    <row r="189" spans="1:10" ht="14.65" thickBot="1" x14ac:dyDescent="0.5">
      <c r="A189" s="3" t="s">
        <v>216</v>
      </c>
      <c r="B189" s="3" t="s">
        <v>11</v>
      </c>
      <c r="C189" s="3" t="s">
        <v>12</v>
      </c>
      <c r="D189" s="3" t="s">
        <v>23</v>
      </c>
      <c r="E189" s="3" t="s">
        <v>14</v>
      </c>
      <c r="F189" s="3" t="s">
        <v>20</v>
      </c>
      <c r="G189" s="4">
        <v>45114</v>
      </c>
      <c r="H189" s="5">
        <v>184</v>
      </c>
      <c r="I189" s="5">
        <v>275.12</v>
      </c>
      <c r="J189" s="5">
        <v>151.65</v>
      </c>
    </row>
    <row r="190" spans="1:10" ht="14.65" thickBot="1" x14ac:dyDescent="0.5">
      <c r="A190" s="3" t="s">
        <v>217</v>
      </c>
      <c r="B190" s="3" t="s">
        <v>11</v>
      </c>
      <c r="C190" s="3" t="s">
        <v>50</v>
      </c>
      <c r="D190" s="3" t="s">
        <v>23</v>
      </c>
      <c r="E190" s="3" t="s">
        <v>14</v>
      </c>
      <c r="F190" s="3" t="s">
        <v>15</v>
      </c>
      <c r="G190" s="4">
        <v>45115</v>
      </c>
      <c r="H190" s="5">
        <v>471</v>
      </c>
      <c r="I190" s="5">
        <v>224.99</v>
      </c>
      <c r="J190" s="5">
        <v>220.94</v>
      </c>
    </row>
    <row r="191" spans="1:10" ht="14.65" thickBot="1" x14ac:dyDescent="0.5">
      <c r="A191" s="3" t="s">
        <v>218</v>
      </c>
      <c r="B191" s="3" t="s">
        <v>48</v>
      </c>
      <c r="C191" s="3" t="s">
        <v>18</v>
      </c>
      <c r="D191" s="3" t="s">
        <v>13</v>
      </c>
      <c r="E191" s="3" t="s">
        <v>24</v>
      </c>
      <c r="F191" s="3" t="s">
        <v>20</v>
      </c>
      <c r="G191" s="4">
        <v>45116</v>
      </c>
      <c r="H191" s="5">
        <v>93</v>
      </c>
      <c r="I191" s="5">
        <v>12.26</v>
      </c>
      <c r="J191" s="5">
        <v>156.68</v>
      </c>
    </row>
    <row r="192" spans="1:10" ht="14.65" thickBot="1" x14ac:dyDescent="0.5">
      <c r="A192" s="3" t="s">
        <v>219</v>
      </c>
      <c r="B192" s="3" t="s">
        <v>11</v>
      </c>
      <c r="C192" s="3" t="s">
        <v>12</v>
      </c>
      <c r="D192" s="3" t="s">
        <v>27</v>
      </c>
      <c r="E192" s="3" t="s">
        <v>14</v>
      </c>
      <c r="F192" s="3" t="s">
        <v>15</v>
      </c>
      <c r="G192" s="4">
        <v>45117</v>
      </c>
      <c r="H192" s="5">
        <v>31</v>
      </c>
      <c r="I192" s="5">
        <v>295.60000000000002</v>
      </c>
      <c r="J192" s="5">
        <v>67.150000000000006</v>
      </c>
    </row>
    <row r="193" spans="1:10" ht="14.65" thickBot="1" x14ac:dyDescent="0.5">
      <c r="A193" s="3" t="s">
        <v>220</v>
      </c>
      <c r="B193" s="3" t="s">
        <v>11</v>
      </c>
      <c r="C193" s="3" t="s">
        <v>50</v>
      </c>
      <c r="D193" s="3" t="s">
        <v>13</v>
      </c>
      <c r="E193" s="3" t="s">
        <v>14</v>
      </c>
      <c r="F193" s="3" t="s">
        <v>20</v>
      </c>
      <c r="G193" s="4">
        <v>45118</v>
      </c>
      <c r="H193" s="5">
        <v>468</v>
      </c>
      <c r="I193" s="5">
        <v>88.38</v>
      </c>
      <c r="J193" s="5">
        <v>110.97</v>
      </c>
    </row>
    <row r="194" spans="1:10" ht="14.65" thickBot="1" x14ac:dyDescent="0.5">
      <c r="A194" s="3" t="s">
        <v>221</v>
      </c>
      <c r="B194" s="3" t="s">
        <v>22</v>
      </c>
      <c r="C194" s="3" t="s">
        <v>12</v>
      </c>
      <c r="D194" s="3" t="s">
        <v>27</v>
      </c>
      <c r="E194" s="3" t="s">
        <v>14</v>
      </c>
      <c r="F194" s="3" t="s">
        <v>28</v>
      </c>
      <c r="G194" s="4">
        <v>45119</v>
      </c>
      <c r="H194" s="5">
        <v>36</v>
      </c>
      <c r="I194" s="5">
        <v>323.08</v>
      </c>
      <c r="J194" s="5">
        <v>371.47</v>
      </c>
    </row>
    <row r="195" spans="1:10" ht="14.65" thickBot="1" x14ac:dyDescent="0.5">
      <c r="A195" s="3" t="s">
        <v>222</v>
      </c>
      <c r="B195" s="3" t="s">
        <v>11</v>
      </c>
      <c r="C195" s="3" t="s">
        <v>26</v>
      </c>
      <c r="D195" s="3" t="s">
        <v>23</v>
      </c>
      <c r="E195" s="3" t="s">
        <v>24</v>
      </c>
      <c r="F195" s="3" t="s">
        <v>20</v>
      </c>
      <c r="G195" s="4">
        <v>45120</v>
      </c>
      <c r="H195" s="5">
        <v>204</v>
      </c>
      <c r="I195" s="5">
        <v>380.88</v>
      </c>
      <c r="J195" s="5">
        <v>271.04000000000002</v>
      </c>
    </row>
    <row r="196" spans="1:10" ht="14.65" thickBot="1" x14ac:dyDescent="0.5">
      <c r="A196" s="3" t="s">
        <v>223</v>
      </c>
      <c r="B196" s="3" t="s">
        <v>11</v>
      </c>
      <c r="C196" s="3" t="s">
        <v>26</v>
      </c>
      <c r="D196" s="3" t="s">
        <v>23</v>
      </c>
      <c r="E196" s="3" t="s">
        <v>14</v>
      </c>
      <c r="F196" s="3" t="s">
        <v>20</v>
      </c>
      <c r="G196" s="4">
        <v>45121</v>
      </c>
      <c r="H196" s="5">
        <v>346</v>
      </c>
      <c r="I196" s="5">
        <v>252.72</v>
      </c>
      <c r="J196" s="5">
        <v>199.43</v>
      </c>
    </row>
    <row r="197" spans="1:10" ht="14.65" thickBot="1" x14ac:dyDescent="0.5">
      <c r="A197" s="3" t="s">
        <v>224</v>
      </c>
      <c r="B197" s="3" t="s">
        <v>48</v>
      </c>
      <c r="C197" s="3" t="s">
        <v>50</v>
      </c>
      <c r="D197" s="3" t="s">
        <v>13</v>
      </c>
      <c r="E197" s="3" t="s">
        <v>24</v>
      </c>
      <c r="F197" s="3" t="s">
        <v>15</v>
      </c>
      <c r="G197" s="4">
        <v>45122</v>
      </c>
      <c r="H197" s="5">
        <v>391</v>
      </c>
      <c r="I197" s="5">
        <v>273.47000000000003</v>
      </c>
      <c r="J197" s="5">
        <v>7.06</v>
      </c>
    </row>
    <row r="198" spans="1:10" ht="14.65" thickBot="1" x14ac:dyDescent="0.5">
      <c r="A198" s="3" t="s">
        <v>225</v>
      </c>
      <c r="B198" s="3" t="s">
        <v>48</v>
      </c>
      <c r="C198" s="3" t="s">
        <v>12</v>
      </c>
      <c r="D198" s="3" t="s">
        <v>13</v>
      </c>
      <c r="E198" s="3" t="s">
        <v>14</v>
      </c>
      <c r="F198" s="3" t="s">
        <v>28</v>
      </c>
      <c r="G198" s="4">
        <v>45123</v>
      </c>
      <c r="H198" s="5">
        <v>245</v>
      </c>
      <c r="I198" s="5">
        <v>475.98</v>
      </c>
      <c r="J198" s="5">
        <v>396.98</v>
      </c>
    </row>
    <row r="199" spans="1:10" ht="14.65" thickBot="1" x14ac:dyDescent="0.5">
      <c r="A199" s="3" t="s">
        <v>226</v>
      </c>
      <c r="B199" s="3" t="s">
        <v>17</v>
      </c>
      <c r="C199" s="3" t="s">
        <v>18</v>
      </c>
      <c r="D199" s="3" t="s">
        <v>27</v>
      </c>
      <c r="E199" s="3" t="s">
        <v>24</v>
      </c>
      <c r="F199" s="3" t="s">
        <v>20</v>
      </c>
      <c r="G199" s="4">
        <v>45124</v>
      </c>
      <c r="H199" s="5">
        <v>449</v>
      </c>
      <c r="I199" s="5">
        <v>424.35</v>
      </c>
      <c r="J199" s="5">
        <v>269.24</v>
      </c>
    </row>
    <row r="200" spans="1:10" ht="14.65" thickBot="1" x14ac:dyDescent="0.5">
      <c r="A200" s="3" t="s">
        <v>227</v>
      </c>
      <c r="B200" s="3" t="s">
        <v>22</v>
      </c>
      <c r="C200" s="3" t="s">
        <v>50</v>
      </c>
      <c r="D200" s="3" t="s">
        <v>19</v>
      </c>
      <c r="E200" s="3" t="s">
        <v>24</v>
      </c>
      <c r="F200" s="3" t="s">
        <v>28</v>
      </c>
      <c r="G200" s="4">
        <v>45125</v>
      </c>
      <c r="H200" s="5">
        <v>101</v>
      </c>
      <c r="I200" s="5">
        <v>457.55</v>
      </c>
      <c r="J200" s="5">
        <v>128.13999999999999</v>
      </c>
    </row>
    <row r="201" spans="1:10" ht="14.65" thickBot="1" x14ac:dyDescent="0.5">
      <c r="A201" s="3" t="s">
        <v>228</v>
      </c>
      <c r="B201" s="3" t="s">
        <v>11</v>
      </c>
      <c r="C201" s="3" t="s">
        <v>26</v>
      </c>
      <c r="D201" s="3" t="s">
        <v>27</v>
      </c>
      <c r="E201" s="3" t="s">
        <v>14</v>
      </c>
      <c r="F201" s="3" t="s">
        <v>20</v>
      </c>
      <c r="G201" s="4">
        <v>45126</v>
      </c>
      <c r="H201" s="3"/>
      <c r="I201" s="5">
        <v>407.81</v>
      </c>
      <c r="J201" s="5">
        <v>351.95</v>
      </c>
    </row>
    <row r="202" spans="1:10" ht="14.65" thickBot="1" x14ac:dyDescent="0.5">
      <c r="A202" s="3" t="s">
        <v>229</v>
      </c>
      <c r="B202" s="3" t="s">
        <v>11</v>
      </c>
      <c r="C202" s="3" t="s">
        <v>26</v>
      </c>
      <c r="D202" s="3" t="s">
        <v>13</v>
      </c>
      <c r="E202" s="3" t="s">
        <v>24</v>
      </c>
      <c r="F202" s="3" t="s">
        <v>20</v>
      </c>
      <c r="G202" s="4">
        <v>45127</v>
      </c>
      <c r="H202" s="5">
        <v>30</v>
      </c>
      <c r="I202" s="5">
        <v>58.91</v>
      </c>
      <c r="J202" s="5">
        <v>104.86</v>
      </c>
    </row>
    <row r="203" spans="1:10" ht="14.65" thickBot="1" x14ac:dyDescent="0.5">
      <c r="A203" s="3" t="s">
        <v>230</v>
      </c>
      <c r="B203" s="3" t="s">
        <v>17</v>
      </c>
      <c r="C203" s="3" t="s">
        <v>50</v>
      </c>
      <c r="D203" s="3" t="s">
        <v>13</v>
      </c>
      <c r="E203" s="3" t="s">
        <v>14</v>
      </c>
      <c r="F203" s="3" t="s">
        <v>28</v>
      </c>
      <c r="G203" s="4">
        <v>45128</v>
      </c>
      <c r="H203" s="5">
        <v>312</v>
      </c>
      <c r="I203" s="5">
        <v>78.75</v>
      </c>
      <c r="J203" s="5">
        <v>218.52</v>
      </c>
    </row>
    <row r="204" spans="1:10" ht="28.9" thickBot="1" x14ac:dyDescent="0.5">
      <c r="A204" s="3" t="s">
        <v>231</v>
      </c>
      <c r="B204" s="3" t="s">
        <v>11</v>
      </c>
      <c r="C204" s="3" t="s">
        <v>12</v>
      </c>
      <c r="D204" s="3" t="s">
        <v>42</v>
      </c>
      <c r="E204" s="3" t="s">
        <v>24</v>
      </c>
      <c r="F204" s="3" t="s">
        <v>20</v>
      </c>
      <c r="G204" s="4">
        <v>45129</v>
      </c>
      <c r="H204" s="5">
        <v>473</v>
      </c>
      <c r="I204" s="5">
        <v>265.68</v>
      </c>
      <c r="J204" s="5">
        <v>255.16</v>
      </c>
    </row>
    <row r="205" spans="1:10" ht="14.65" thickBot="1" x14ac:dyDescent="0.5">
      <c r="A205" s="3" t="s">
        <v>232</v>
      </c>
      <c r="B205" s="3" t="s">
        <v>22</v>
      </c>
      <c r="C205" s="3" t="s">
        <v>26</v>
      </c>
      <c r="D205" s="3" t="s">
        <v>13</v>
      </c>
      <c r="E205" s="3" t="s">
        <v>14</v>
      </c>
      <c r="F205" s="3" t="s">
        <v>28</v>
      </c>
      <c r="G205" s="4">
        <v>45130</v>
      </c>
      <c r="H205" s="5">
        <v>366</v>
      </c>
      <c r="I205" s="5">
        <v>126.8</v>
      </c>
      <c r="J205" s="5">
        <v>89.98</v>
      </c>
    </row>
    <row r="206" spans="1:10" ht="28.9" thickBot="1" x14ac:dyDescent="0.5">
      <c r="A206" s="3" t="s">
        <v>233</v>
      </c>
      <c r="B206" s="3" t="s">
        <v>17</v>
      </c>
      <c r="C206" s="3" t="s">
        <v>12</v>
      </c>
      <c r="D206" s="3" t="s">
        <v>42</v>
      </c>
      <c r="E206" s="3" t="s">
        <v>14</v>
      </c>
      <c r="F206" s="3" t="s">
        <v>20</v>
      </c>
      <c r="G206" s="4">
        <v>45131</v>
      </c>
      <c r="H206" s="5">
        <v>452</v>
      </c>
      <c r="I206" s="5">
        <v>240.96</v>
      </c>
      <c r="J206" s="5">
        <v>391.4</v>
      </c>
    </row>
    <row r="207" spans="1:10" ht="14.65" thickBot="1" x14ac:dyDescent="0.5">
      <c r="A207" s="3" t="s">
        <v>234</v>
      </c>
      <c r="B207" s="3" t="s">
        <v>22</v>
      </c>
      <c r="C207" s="3" t="s">
        <v>26</v>
      </c>
      <c r="D207" s="3" t="s">
        <v>19</v>
      </c>
      <c r="E207" s="3" t="s">
        <v>24</v>
      </c>
      <c r="F207" s="3" t="s">
        <v>15</v>
      </c>
      <c r="G207" s="4">
        <v>45132</v>
      </c>
      <c r="H207" s="5">
        <v>93</v>
      </c>
      <c r="I207" s="5">
        <v>200.21</v>
      </c>
      <c r="J207" s="5">
        <v>299.77999999999997</v>
      </c>
    </row>
    <row r="208" spans="1:10" ht="14.65" thickBot="1" x14ac:dyDescent="0.5">
      <c r="A208" s="3" t="s">
        <v>235</v>
      </c>
      <c r="B208" s="3" t="s">
        <v>17</v>
      </c>
      <c r="C208" s="3" t="s">
        <v>26</v>
      </c>
      <c r="D208" s="3" t="s">
        <v>27</v>
      </c>
      <c r="E208" s="3" t="s">
        <v>14</v>
      </c>
      <c r="F208" s="3" t="s">
        <v>28</v>
      </c>
      <c r="G208" s="4">
        <v>45133</v>
      </c>
      <c r="H208" s="5">
        <v>271</v>
      </c>
      <c r="I208" s="5">
        <v>276.95999999999998</v>
      </c>
      <c r="J208" s="5">
        <v>224.01</v>
      </c>
    </row>
    <row r="209" spans="1:10" ht="14.65" thickBot="1" x14ac:dyDescent="0.5">
      <c r="A209" s="3" t="s">
        <v>236</v>
      </c>
      <c r="B209" s="3" t="s">
        <v>17</v>
      </c>
      <c r="C209" s="3" t="s">
        <v>31</v>
      </c>
      <c r="D209" s="3" t="s">
        <v>27</v>
      </c>
      <c r="E209" s="3" t="s">
        <v>14</v>
      </c>
      <c r="F209" s="3" t="s">
        <v>20</v>
      </c>
      <c r="G209" s="4">
        <v>45134</v>
      </c>
      <c r="H209" s="5">
        <v>156</v>
      </c>
      <c r="I209" s="5">
        <v>374.7</v>
      </c>
      <c r="J209" s="5">
        <v>73.88</v>
      </c>
    </row>
    <row r="210" spans="1:10" ht="28.9" thickBot="1" x14ac:dyDescent="0.5">
      <c r="A210" s="3" t="s">
        <v>237</v>
      </c>
      <c r="B210" s="3" t="s">
        <v>48</v>
      </c>
      <c r="C210" s="3" t="s">
        <v>26</v>
      </c>
      <c r="D210" s="3" t="s">
        <v>42</v>
      </c>
      <c r="E210" s="3" t="s">
        <v>24</v>
      </c>
      <c r="F210" s="3" t="s">
        <v>20</v>
      </c>
      <c r="G210" s="4">
        <v>45135</v>
      </c>
      <c r="H210" s="5">
        <v>450</v>
      </c>
      <c r="I210" s="5">
        <v>359.17</v>
      </c>
      <c r="J210" s="5">
        <v>23.44</v>
      </c>
    </row>
    <row r="211" spans="1:10" ht="14.65" thickBot="1" x14ac:dyDescent="0.5">
      <c r="A211" s="3" t="s">
        <v>238</v>
      </c>
      <c r="B211" s="3" t="s">
        <v>22</v>
      </c>
      <c r="C211" s="3" t="s">
        <v>18</v>
      </c>
      <c r="D211" s="3" t="s">
        <v>27</v>
      </c>
      <c r="E211" s="3" t="s">
        <v>14</v>
      </c>
      <c r="F211" s="3" t="s">
        <v>15</v>
      </c>
      <c r="G211" s="4">
        <v>45136</v>
      </c>
      <c r="H211" s="5">
        <v>462</v>
      </c>
      <c r="I211" s="5">
        <v>263.01</v>
      </c>
      <c r="J211" s="5">
        <v>129.38</v>
      </c>
    </row>
    <row r="212" spans="1:10" ht="14.65" thickBot="1" x14ac:dyDescent="0.5">
      <c r="A212" s="3" t="s">
        <v>239</v>
      </c>
      <c r="B212" s="3" t="s">
        <v>11</v>
      </c>
      <c r="C212" s="3" t="s">
        <v>50</v>
      </c>
      <c r="D212" s="3"/>
      <c r="E212" s="3" t="s">
        <v>14</v>
      </c>
      <c r="F212" s="3" t="s">
        <v>28</v>
      </c>
      <c r="G212" s="4">
        <v>45137</v>
      </c>
      <c r="H212" s="5">
        <v>396</v>
      </c>
      <c r="I212" s="5">
        <v>412.08</v>
      </c>
      <c r="J212" s="5">
        <v>301.77</v>
      </c>
    </row>
    <row r="213" spans="1:10" ht="14.65" thickBot="1" x14ac:dyDescent="0.5">
      <c r="A213" s="3" t="s">
        <v>240</v>
      </c>
      <c r="B213" s="3" t="s">
        <v>11</v>
      </c>
      <c r="C213" s="3" t="s">
        <v>50</v>
      </c>
      <c r="D213" s="3" t="s">
        <v>23</v>
      </c>
      <c r="E213" s="3" t="s">
        <v>24</v>
      </c>
      <c r="F213" s="3" t="s">
        <v>20</v>
      </c>
      <c r="G213" s="4">
        <v>45138</v>
      </c>
      <c r="H213" s="5">
        <v>266</v>
      </c>
      <c r="I213" s="5">
        <v>218.28</v>
      </c>
      <c r="J213" s="5">
        <v>109.19</v>
      </c>
    </row>
    <row r="214" spans="1:10" ht="28.9" thickBot="1" x14ac:dyDescent="0.5">
      <c r="A214" s="3" t="s">
        <v>241</v>
      </c>
      <c r="B214" s="3" t="s">
        <v>22</v>
      </c>
      <c r="C214" s="3" t="s">
        <v>12</v>
      </c>
      <c r="D214" s="3" t="s">
        <v>42</v>
      </c>
      <c r="E214" s="3" t="s">
        <v>24</v>
      </c>
      <c r="F214" s="3" t="s">
        <v>15</v>
      </c>
      <c r="G214" s="4">
        <v>45139</v>
      </c>
      <c r="H214" s="5">
        <v>67</v>
      </c>
      <c r="I214" s="5">
        <v>448.87</v>
      </c>
      <c r="J214" s="5">
        <v>216.74</v>
      </c>
    </row>
    <row r="215" spans="1:10" ht="14.65" thickBot="1" x14ac:dyDescent="0.5">
      <c r="A215" s="3" t="s">
        <v>242</v>
      </c>
      <c r="B215" s="3" t="s">
        <v>11</v>
      </c>
      <c r="C215" s="3" t="s">
        <v>26</v>
      </c>
      <c r="D215" s="3" t="s">
        <v>27</v>
      </c>
      <c r="E215" s="3" t="s">
        <v>14</v>
      </c>
      <c r="F215" s="3" t="s">
        <v>20</v>
      </c>
      <c r="G215" s="4">
        <v>45140</v>
      </c>
      <c r="H215" s="5">
        <v>389</v>
      </c>
      <c r="I215" s="5">
        <v>40.28</v>
      </c>
      <c r="J215" s="5">
        <v>291.72000000000003</v>
      </c>
    </row>
    <row r="216" spans="1:10" ht="28.9" thickBot="1" x14ac:dyDescent="0.5">
      <c r="A216" s="3" t="s">
        <v>243</v>
      </c>
      <c r="B216" s="3" t="s">
        <v>11</v>
      </c>
      <c r="C216" s="3" t="s">
        <v>18</v>
      </c>
      <c r="D216" s="3" t="s">
        <v>42</v>
      </c>
      <c r="E216" s="3" t="s">
        <v>14</v>
      </c>
      <c r="F216" s="3" t="s">
        <v>28</v>
      </c>
      <c r="G216" s="4">
        <v>45141</v>
      </c>
      <c r="H216" s="5">
        <v>431</v>
      </c>
      <c r="I216" s="5">
        <v>477.56</v>
      </c>
      <c r="J216" s="5">
        <v>44.96</v>
      </c>
    </row>
    <row r="217" spans="1:10" ht="28.9" thickBot="1" x14ac:dyDescent="0.5">
      <c r="A217" s="3" t="s">
        <v>244</v>
      </c>
      <c r="B217" s="3" t="s">
        <v>22</v>
      </c>
      <c r="C217" s="3" t="s">
        <v>12</v>
      </c>
      <c r="D217" s="3" t="s">
        <v>42</v>
      </c>
      <c r="E217" s="3" t="s">
        <v>24</v>
      </c>
      <c r="F217" s="3" t="s">
        <v>20</v>
      </c>
      <c r="G217" s="4">
        <v>45142</v>
      </c>
      <c r="H217" s="5">
        <v>24</v>
      </c>
      <c r="I217" s="5">
        <v>329.07</v>
      </c>
      <c r="J217" s="5">
        <v>274.75</v>
      </c>
    </row>
    <row r="218" spans="1:10" ht="14.65" thickBot="1" x14ac:dyDescent="0.5">
      <c r="A218" s="3" t="s">
        <v>245</v>
      </c>
      <c r="B218" s="3" t="s">
        <v>17</v>
      </c>
      <c r="C218" s="3" t="s">
        <v>31</v>
      </c>
      <c r="D218" s="3" t="s">
        <v>23</v>
      </c>
      <c r="E218" s="3" t="s">
        <v>24</v>
      </c>
      <c r="F218" s="3" t="s">
        <v>20</v>
      </c>
      <c r="G218" s="4">
        <v>45143</v>
      </c>
      <c r="H218" s="5">
        <v>171</v>
      </c>
      <c r="I218" s="5">
        <v>193.14</v>
      </c>
      <c r="J218" s="5">
        <v>38.56</v>
      </c>
    </row>
    <row r="219" spans="1:10" ht="14.65" thickBot="1" x14ac:dyDescent="0.5">
      <c r="A219" s="3" t="s">
        <v>246</v>
      </c>
      <c r="B219" s="3" t="s">
        <v>22</v>
      </c>
      <c r="C219" s="3" t="s">
        <v>12</v>
      </c>
      <c r="D219" s="3" t="s">
        <v>13</v>
      </c>
      <c r="E219" s="3" t="s">
        <v>14</v>
      </c>
      <c r="F219" s="3" t="s">
        <v>20</v>
      </c>
      <c r="G219" s="4">
        <v>45144</v>
      </c>
      <c r="H219" s="5">
        <v>454</v>
      </c>
      <c r="I219" s="5">
        <v>102.59</v>
      </c>
      <c r="J219" s="5">
        <v>386.12</v>
      </c>
    </row>
    <row r="220" spans="1:10" ht="28.9" thickBot="1" x14ac:dyDescent="0.5">
      <c r="A220" s="3" t="s">
        <v>247</v>
      </c>
      <c r="B220" s="3" t="s">
        <v>17</v>
      </c>
      <c r="C220" s="3" t="s">
        <v>12</v>
      </c>
      <c r="D220" s="3" t="s">
        <v>42</v>
      </c>
      <c r="E220" s="3" t="s">
        <v>24</v>
      </c>
      <c r="F220" s="3" t="s">
        <v>20</v>
      </c>
      <c r="G220" s="4">
        <v>45145</v>
      </c>
      <c r="H220" s="5">
        <v>172</v>
      </c>
      <c r="I220" s="5">
        <v>242.2</v>
      </c>
      <c r="J220" s="5">
        <v>196.38</v>
      </c>
    </row>
    <row r="221" spans="1:10" ht="14.65" thickBot="1" x14ac:dyDescent="0.5">
      <c r="A221" s="3" t="s">
        <v>248</v>
      </c>
      <c r="B221" s="3" t="s">
        <v>11</v>
      </c>
      <c r="C221" s="3" t="s">
        <v>26</v>
      </c>
      <c r="D221" s="3" t="s">
        <v>27</v>
      </c>
      <c r="E221" s="3" t="s">
        <v>14</v>
      </c>
      <c r="F221" s="3" t="s">
        <v>15</v>
      </c>
      <c r="G221" s="4">
        <v>45146</v>
      </c>
      <c r="H221" s="5">
        <v>329</v>
      </c>
      <c r="I221" s="5">
        <v>101.31</v>
      </c>
      <c r="J221" s="5">
        <v>61.97</v>
      </c>
    </row>
    <row r="222" spans="1:10" ht="14.65" thickBot="1" x14ac:dyDescent="0.5">
      <c r="A222" s="3" t="s">
        <v>249</v>
      </c>
      <c r="B222" s="3" t="s">
        <v>11</v>
      </c>
      <c r="C222" s="3" t="s">
        <v>31</v>
      </c>
      <c r="D222" s="3" t="s">
        <v>19</v>
      </c>
      <c r="E222" s="3" t="s">
        <v>14</v>
      </c>
      <c r="F222" s="3" t="s">
        <v>15</v>
      </c>
      <c r="G222" s="4">
        <v>45147</v>
      </c>
      <c r="H222" s="5">
        <v>290</v>
      </c>
      <c r="I222" s="5">
        <v>87.33</v>
      </c>
      <c r="J222" s="5">
        <v>138.27000000000001</v>
      </c>
    </row>
    <row r="223" spans="1:10" ht="28.9" thickBot="1" x14ac:dyDescent="0.5">
      <c r="A223" s="3" t="s">
        <v>250</v>
      </c>
      <c r="B223" s="3"/>
      <c r="C223" s="3" t="s">
        <v>12</v>
      </c>
      <c r="D223" s="3" t="s">
        <v>42</v>
      </c>
      <c r="E223" s="3" t="s">
        <v>14</v>
      </c>
      <c r="F223" s="3" t="s">
        <v>28</v>
      </c>
      <c r="G223" s="4">
        <v>45148</v>
      </c>
      <c r="H223" s="5">
        <v>289</v>
      </c>
      <c r="I223" s="5">
        <v>310.58999999999997</v>
      </c>
      <c r="J223" s="5">
        <v>166.54</v>
      </c>
    </row>
    <row r="224" spans="1:10" ht="28.9" thickBot="1" x14ac:dyDescent="0.5">
      <c r="A224" s="3" t="s">
        <v>251</v>
      </c>
      <c r="B224" s="3" t="s">
        <v>48</v>
      </c>
      <c r="C224" s="3" t="s">
        <v>18</v>
      </c>
      <c r="D224" s="3" t="s">
        <v>42</v>
      </c>
      <c r="E224" s="3" t="s">
        <v>14</v>
      </c>
      <c r="F224" s="3" t="s">
        <v>15</v>
      </c>
      <c r="G224" s="4">
        <v>45149</v>
      </c>
      <c r="H224" s="5">
        <v>21</v>
      </c>
      <c r="I224" s="5">
        <v>263.93</v>
      </c>
      <c r="J224" s="5">
        <v>303.76</v>
      </c>
    </row>
    <row r="225" spans="1:10" ht="14.65" thickBot="1" x14ac:dyDescent="0.5">
      <c r="A225" s="3" t="s">
        <v>252</v>
      </c>
      <c r="B225" s="3" t="s">
        <v>17</v>
      </c>
      <c r="C225" s="3" t="s">
        <v>18</v>
      </c>
      <c r="D225" s="3" t="s">
        <v>23</v>
      </c>
      <c r="E225" s="3" t="s">
        <v>14</v>
      </c>
      <c r="F225" s="3" t="s">
        <v>15</v>
      </c>
      <c r="G225" s="4">
        <v>45150</v>
      </c>
      <c r="H225" s="5">
        <v>283</v>
      </c>
      <c r="I225" s="5">
        <v>336.7</v>
      </c>
      <c r="J225" s="5">
        <v>297.88</v>
      </c>
    </row>
    <row r="226" spans="1:10" ht="14.65" thickBot="1" x14ac:dyDescent="0.5">
      <c r="A226" s="3" t="s">
        <v>253</v>
      </c>
      <c r="B226" s="3" t="s">
        <v>48</v>
      </c>
      <c r="C226" s="3" t="s">
        <v>50</v>
      </c>
      <c r="D226" s="3" t="s">
        <v>13</v>
      </c>
      <c r="E226" s="3" t="s">
        <v>24</v>
      </c>
      <c r="F226" s="3" t="s">
        <v>28</v>
      </c>
      <c r="G226" s="4">
        <v>45151</v>
      </c>
      <c r="H226" s="5">
        <v>280</v>
      </c>
      <c r="I226" s="5">
        <v>465.15</v>
      </c>
      <c r="J226" s="5">
        <v>245.55</v>
      </c>
    </row>
    <row r="227" spans="1:10" ht="14.65" thickBot="1" x14ac:dyDescent="0.5">
      <c r="A227" s="3" t="s">
        <v>254</v>
      </c>
      <c r="B227" s="3" t="s">
        <v>48</v>
      </c>
      <c r="C227" s="3" t="s">
        <v>31</v>
      </c>
      <c r="D227" s="3" t="s">
        <v>19</v>
      </c>
      <c r="E227" s="3" t="s">
        <v>24</v>
      </c>
      <c r="F227" s="3" t="s">
        <v>15</v>
      </c>
      <c r="G227" s="4">
        <v>45152</v>
      </c>
      <c r="H227" s="5">
        <v>217</v>
      </c>
      <c r="I227" s="5">
        <v>268.47000000000003</v>
      </c>
      <c r="J227" s="5">
        <v>44.16</v>
      </c>
    </row>
    <row r="228" spans="1:10" ht="14.65" thickBot="1" x14ac:dyDescent="0.5">
      <c r="A228" s="3" t="s">
        <v>255</v>
      </c>
      <c r="B228" s="3" t="s">
        <v>22</v>
      </c>
      <c r="C228" s="3" t="s">
        <v>31</v>
      </c>
      <c r="D228" s="3" t="s">
        <v>27</v>
      </c>
      <c r="E228" s="3" t="s">
        <v>24</v>
      </c>
      <c r="F228" s="3" t="s">
        <v>15</v>
      </c>
      <c r="G228" s="4">
        <v>45153</v>
      </c>
      <c r="H228" s="5">
        <v>36</v>
      </c>
      <c r="I228" s="5">
        <v>292.56</v>
      </c>
      <c r="J228" s="5">
        <v>62.32</v>
      </c>
    </row>
    <row r="229" spans="1:10" ht="14.65" thickBot="1" x14ac:dyDescent="0.5">
      <c r="A229" s="3" t="s">
        <v>256</v>
      </c>
      <c r="B229" s="3" t="s">
        <v>48</v>
      </c>
      <c r="C229" s="3" t="s">
        <v>50</v>
      </c>
      <c r="D229" s="3" t="s">
        <v>19</v>
      </c>
      <c r="E229" s="3" t="s">
        <v>24</v>
      </c>
      <c r="F229" s="3" t="s">
        <v>28</v>
      </c>
      <c r="G229" s="4">
        <v>45154</v>
      </c>
      <c r="H229" s="3"/>
      <c r="I229" s="5">
        <v>49.37</v>
      </c>
      <c r="J229" s="5">
        <v>39.32</v>
      </c>
    </row>
    <row r="230" spans="1:10" ht="14.65" thickBot="1" x14ac:dyDescent="0.5">
      <c r="A230" s="3" t="s">
        <v>257</v>
      </c>
      <c r="B230" s="3" t="s">
        <v>22</v>
      </c>
      <c r="C230" s="3" t="s">
        <v>12</v>
      </c>
      <c r="D230" s="3" t="s">
        <v>27</v>
      </c>
      <c r="E230" s="3" t="s">
        <v>14</v>
      </c>
      <c r="F230" s="3" t="s">
        <v>28</v>
      </c>
      <c r="G230" s="4">
        <v>45155</v>
      </c>
      <c r="H230" s="5">
        <v>69</v>
      </c>
      <c r="I230" s="5">
        <v>360.23</v>
      </c>
      <c r="J230" s="5">
        <v>231.71</v>
      </c>
    </row>
    <row r="231" spans="1:10" ht="14.65" thickBot="1" x14ac:dyDescent="0.5">
      <c r="A231" s="3" t="s">
        <v>258</v>
      </c>
      <c r="B231" s="3" t="s">
        <v>22</v>
      </c>
      <c r="C231" s="3" t="s">
        <v>31</v>
      </c>
      <c r="D231" s="3" t="s">
        <v>13</v>
      </c>
      <c r="E231" s="3" t="s">
        <v>14</v>
      </c>
      <c r="F231" s="3" t="s">
        <v>28</v>
      </c>
      <c r="G231" s="4">
        <v>45156</v>
      </c>
      <c r="H231" s="5">
        <v>439</v>
      </c>
      <c r="I231" s="5">
        <v>202.95</v>
      </c>
      <c r="J231" s="5">
        <v>351.1</v>
      </c>
    </row>
    <row r="232" spans="1:10" ht="14.65" thickBot="1" x14ac:dyDescent="0.5">
      <c r="A232" s="3" t="s">
        <v>259</v>
      </c>
      <c r="B232" s="3" t="s">
        <v>48</v>
      </c>
      <c r="C232" s="3" t="s">
        <v>18</v>
      </c>
      <c r="D232" s="3" t="s">
        <v>27</v>
      </c>
      <c r="E232" s="3" t="s">
        <v>14</v>
      </c>
      <c r="F232" s="3" t="s">
        <v>20</v>
      </c>
      <c r="G232" s="4">
        <v>45157</v>
      </c>
      <c r="H232" s="5">
        <v>482</v>
      </c>
      <c r="I232" s="5">
        <v>488.48</v>
      </c>
      <c r="J232" s="5">
        <v>174.65</v>
      </c>
    </row>
    <row r="233" spans="1:10" ht="14.65" thickBot="1" x14ac:dyDescent="0.5">
      <c r="A233" s="3" t="s">
        <v>260</v>
      </c>
      <c r="B233" s="3" t="s">
        <v>17</v>
      </c>
      <c r="C233" s="3" t="s">
        <v>18</v>
      </c>
      <c r="D233" s="3" t="s">
        <v>23</v>
      </c>
      <c r="E233" s="3" t="s">
        <v>14</v>
      </c>
      <c r="F233" s="3" t="s">
        <v>20</v>
      </c>
      <c r="G233" s="4">
        <v>45158</v>
      </c>
      <c r="H233" s="5">
        <v>154</v>
      </c>
      <c r="I233" s="5">
        <v>412.47</v>
      </c>
      <c r="J233" s="5">
        <v>66.02</v>
      </c>
    </row>
    <row r="234" spans="1:10" ht="14.65" thickBot="1" x14ac:dyDescent="0.5">
      <c r="A234" s="3" t="s">
        <v>261</v>
      </c>
      <c r="B234" s="3" t="s">
        <v>17</v>
      </c>
      <c r="C234" s="3" t="s">
        <v>26</v>
      </c>
      <c r="D234" s="3" t="s">
        <v>23</v>
      </c>
      <c r="E234" s="3" t="s">
        <v>24</v>
      </c>
      <c r="F234" s="3" t="s">
        <v>28</v>
      </c>
      <c r="G234" s="4">
        <v>45159</v>
      </c>
      <c r="H234" s="5">
        <v>102</v>
      </c>
      <c r="I234" s="5">
        <v>263.63</v>
      </c>
      <c r="J234" s="5">
        <v>224.1</v>
      </c>
    </row>
    <row r="235" spans="1:10" ht="14.65" thickBot="1" x14ac:dyDescent="0.5">
      <c r="A235" s="3" t="s">
        <v>262</v>
      </c>
      <c r="B235" s="3" t="s">
        <v>17</v>
      </c>
      <c r="C235" s="3" t="s">
        <v>31</v>
      </c>
      <c r="D235" s="3" t="s">
        <v>23</v>
      </c>
      <c r="E235" s="3" t="s">
        <v>14</v>
      </c>
      <c r="F235" s="3" t="s">
        <v>28</v>
      </c>
      <c r="G235" s="4">
        <v>45160</v>
      </c>
      <c r="H235" s="5">
        <v>318</v>
      </c>
      <c r="I235" s="5">
        <v>66</v>
      </c>
      <c r="J235" s="5">
        <v>325.08</v>
      </c>
    </row>
    <row r="236" spans="1:10" ht="14.65" thickBot="1" x14ac:dyDescent="0.5">
      <c r="A236" s="3" t="s">
        <v>263</v>
      </c>
      <c r="B236" s="3" t="s">
        <v>17</v>
      </c>
      <c r="C236" s="3" t="s">
        <v>12</v>
      </c>
      <c r="D236" s="3" t="s">
        <v>23</v>
      </c>
      <c r="E236" s="3" t="s">
        <v>14</v>
      </c>
      <c r="F236" s="3" t="s">
        <v>28</v>
      </c>
      <c r="G236" s="4">
        <v>45161</v>
      </c>
      <c r="H236" s="5">
        <v>17</v>
      </c>
      <c r="I236" s="5">
        <v>430.41</v>
      </c>
      <c r="J236" s="5">
        <v>297.2</v>
      </c>
    </row>
    <row r="237" spans="1:10" ht="14.65" thickBot="1" x14ac:dyDescent="0.5">
      <c r="A237" s="3" t="s">
        <v>264</v>
      </c>
      <c r="B237" s="3" t="s">
        <v>17</v>
      </c>
      <c r="C237" s="3" t="s">
        <v>50</v>
      </c>
      <c r="D237" s="3" t="s">
        <v>19</v>
      </c>
      <c r="E237" s="3" t="s">
        <v>24</v>
      </c>
      <c r="F237" s="3" t="s">
        <v>20</v>
      </c>
      <c r="G237" s="4">
        <v>45162</v>
      </c>
      <c r="H237" s="5">
        <v>88</v>
      </c>
      <c r="I237" s="5">
        <v>400.89</v>
      </c>
      <c r="J237" s="5">
        <v>352.82</v>
      </c>
    </row>
    <row r="238" spans="1:10" ht="14.65" thickBot="1" x14ac:dyDescent="0.5">
      <c r="A238" s="3" t="s">
        <v>265</v>
      </c>
      <c r="B238" s="3" t="s">
        <v>48</v>
      </c>
      <c r="C238" s="3" t="s">
        <v>50</v>
      </c>
      <c r="D238" s="3" t="s">
        <v>13</v>
      </c>
      <c r="E238" s="3" t="s">
        <v>24</v>
      </c>
      <c r="F238" s="3" t="s">
        <v>20</v>
      </c>
      <c r="G238" s="4">
        <v>45163</v>
      </c>
      <c r="H238" s="5">
        <v>36</v>
      </c>
      <c r="I238" s="5">
        <v>96.37</v>
      </c>
      <c r="J238" s="5">
        <v>112.61</v>
      </c>
    </row>
    <row r="239" spans="1:10" ht="14.65" thickBot="1" x14ac:dyDescent="0.5">
      <c r="A239" s="3" t="s">
        <v>266</v>
      </c>
      <c r="B239" s="3" t="s">
        <v>48</v>
      </c>
      <c r="C239" s="3" t="s">
        <v>12</v>
      </c>
      <c r="D239" s="3" t="s">
        <v>27</v>
      </c>
      <c r="E239" s="3" t="s">
        <v>24</v>
      </c>
      <c r="F239" s="3" t="s">
        <v>15</v>
      </c>
      <c r="G239" s="4">
        <v>45164</v>
      </c>
      <c r="H239" s="5">
        <v>183</v>
      </c>
      <c r="I239" s="5">
        <v>151.16</v>
      </c>
      <c r="J239" s="5">
        <v>79.19</v>
      </c>
    </row>
    <row r="240" spans="1:10" ht="14.65" thickBot="1" x14ac:dyDescent="0.5">
      <c r="A240" s="3" t="s">
        <v>267</v>
      </c>
      <c r="B240" s="3" t="s">
        <v>11</v>
      </c>
      <c r="C240" s="3" t="s">
        <v>26</v>
      </c>
      <c r="D240" s="3" t="s">
        <v>27</v>
      </c>
      <c r="E240" s="3" t="s">
        <v>24</v>
      </c>
      <c r="F240" s="3" t="s">
        <v>15</v>
      </c>
      <c r="G240" s="4">
        <v>45165</v>
      </c>
      <c r="H240" s="5">
        <v>59</v>
      </c>
      <c r="I240" s="5">
        <v>397.74</v>
      </c>
      <c r="J240" s="5">
        <v>352.17</v>
      </c>
    </row>
    <row r="241" spans="1:10" ht="14.65" thickBot="1" x14ac:dyDescent="0.5">
      <c r="A241" s="3" t="s">
        <v>268</v>
      </c>
      <c r="B241" s="3" t="s">
        <v>17</v>
      </c>
      <c r="C241" s="3" t="s">
        <v>50</v>
      </c>
      <c r="D241" s="3" t="s">
        <v>23</v>
      </c>
      <c r="E241" s="3" t="s">
        <v>14</v>
      </c>
      <c r="F241" s="3" t="s">
        <v>28</v>
      </c>
      <c r="G241" s="4">
        <v>45166</v>
      </c>
      <c r="H241" s="5">
        <v>208</v>
      </c>
      <c r="I241" s="5">
        <v>96.69</v>
      </c>
      <c r="J241" s="5">
        <v>263.70999999999998</v>
      </c>
    </row>
    <row r="242" spans="1:10" ht="14.65" thickBot="1" x14ac:dyDescent="0.5">
      <c r="A242" s="3" t="s">
        <v>269</v>
      </c>
      <c r="B242" s="3" t="s">
        <v>48</v>
      </c>
      <c r="C242" s="3" t="s">
        <v>31</v>
      </c>
      <c r="D242" s="3" t="s">
        <v>23</v>
      </c>
      <c r="E242" s="3" t="s">
        <v>14</v>
      </c>
      <c r="F242" s="3" t="s">
        <v>20</v>
      </c>
      <c r="G242" s="4">
        <v>45167</v>
      </c>
      <c r="H242" s="5">
        <v>396</v>
      </c>
      <c r="I242" s="5">
        <v>459.29</v>
      </c>
      <c r="J242" s="5">
        <v>125.75</v>
      </c>
    </row>
    <row r="243" spans="1:10" ht="28.9" thickBot="1" x14ac:dyDescent="0.5">
      <c r="A243" s="3" t="s">
        <v>270</v>
      </c>
      <c r="B243" s="3" t="s">
        <v>11</v>
      </c>
      <c r="C243" s="3" t="s">
        <v>26</v>
      </c>
      <c r="D243" s="3" t="s">
        <v>42</v>
      </c>
      <c r="E243" s="3" t="s">
        <v>24</v>
      </c>
      <c r="F243" s="3" t="s">
        <v>20</v>
      </c>
      <c r="G243" s="4">
        <v>45168</v>
      </c>
      <c r="H243" s="5">
        <v>358</v>
      </c>
      <c r="I243" s="5">
        <v>215.14</v>
      </c>
      <c r="J243" s="5">
        <v>297.45</v>
      </c>
    </row>
    <row r="244" spans="1:10" ht="14.65" thickBot="1" x14ac:dyDescent="0.5">
      <c r="A244" s="3" t="s">
        <v>271</v>
      </c>
      <c r="B244" s="3" t="s">
        <v>17</v>
      </c>
      <c r="C244" s="3" t="s">
        <v>31</v>
      </c>
      <c r="D244" s="3" t="s">
        <v>13</v>
      </c>
      <c r="E244" s="3" t="s">
        <v>14</v>
      </c>
      <c r="F244" s="3" t="s">
        <v>20</v>
      </c>
      <c r="G244" s="4">
        <v>45169</v>
      </c>
      <c r="H244" s="5">
        <v>457</v>
      </c>
      <c r="I244" s="5">
        <v>48.08</v>
      </c>
      <c r="J244" s="5">
        <v>326.42</v>
      </c>
    </row>
    <row r="245" spans="1:10" ht="14.65" thickBot="1" x14ac:dyDescent="0.5">
      <c r="A245" s="3" t="s">
        <v>272</v>
      </c>
      <c r="B245" s="3" t="s">
        <v>22</v>
      </c>
      <c r="C245" s="3" t="s">
        <v>18</v>
      </c>
      <c r="D245" s="3" t="s">
        <v>19</v>
      </c>
      <c r="E245" s="3" t="s">
        <v>14</v>
      </c>
      <c r="F245" s="3" t="s">
        <v>28</v>
      </c>
      <c r="G245" s="4">
        <v>45170</v>
      </c>
      <c r="H245" s="5">
        <v>437</v>
      </c>
      <c r="I245" s="5">
        <v>408.8</v>
      </c>
      <c r="J245" s="5">
        <v>246.76</v>
      </c>
    </row>
    <row r="246" spans="1:10" ht="14.65" thickBot="1" x14ac:dyDescent="0.5">
      <c r="A246" s="3" t="s">
        <v>273</v>
      </c>
      <c r="B246" s="3" t="s">
        <v>11</v>
      </c>
      <c r="C246" s="3" t="s">
        <v>26</v>
      </c>
      <c r="D246" s="3" t="s">
        <v>27</v>
      </c>
      <c r="E246" s="3" t="s">
        <v>14</v>
      </c>
      <c r="F246" s="3" t="s">
        <v>15</v>
      </c>
      <c r="G246" s="4">
        <v>45171</v>
      </c>
      <c r="H246" s="5">
        <v>190</v>
      </c>
      <c r="I246" s="5">
        <v>189.89</v>
      </c>
      <c r="J246" s="5">
        <v>275.77999999999997</v>
      </c>
    </row>
    <row r="247" spans="1:10" ht="28.9" thickBot="1" x14ac:dyDescent="0.5">
      <c r="A247" s="3" t="s">
        <v>274</v>
      </c>
      <c r="B247" s="3" t="s">
        <v>48</v>
      </c>
      <c r="C247" s="3" t="s">
        <v>50</v>
      </c>
      <c r="D247" s="3" t="s">
        <v>42</v>
      </c>
      <c r="E247" s="3" t="s">
        <v>24</v>
      </c>
      <c r="F247" s="3" t="s">
        <v>28</v>
      </c>
      <c r="G247" s="4">
        <v>45172</v>
      </c>
      <c r="H247" s="5">
        <v>33</v>
      </c>
      <c r="I247" s="5">
        <v>265.62</v>
      </c>
      <c r="J247" s="5">
        <v>151.35</v>
      </c>
    </row>
    <row r="248" spans="1:10" ht="28.9" thickBot="1" x14ac:dyDescent="0.5">
      <c r="A248" s="3" t="s">
        <v>275</v>
      </c>
      <c r="B248" s="3" t="s">
        <v>22</v>
      </c>
      <c r="C248" s="3" t="s">
        <v>26</v>
      </c>
      <c r="D248" s="3" t="s">
        <v>42</v>
      </c>
      <c r="E248" s="3" t="s">
        <v>14</v>
      </c>
      <c r="F248" s="3" t="s">
        <v>15</v>
      </c>
      <c r="G248" s="4">
        <v>45173</v>
      </c>
      <c r="H248" s="5">
        <v>325</v>
      </c>
      <c r="I248" s="5">
        <v>60.59</v>
      </c>
      <c r="J248" s="5">
        <v>216.4</v>
      </c>
    </row>
    <row r="249" spans="1:10" ht="14.65" thickBot="1" x14ac:dyDescent="0.5">
      <c r="A249" s="3" t="s">
        <v>276</v>
      </c>
      <c r="B249" s="3" t="s">
        <v>22</v>
      </c>
      <c r="C249" s="3" t="s">
        <v>26</v>
      </c>
      <c r="D249" s="3" t="s">
        <v>27</v>
      </c>
      <c r="E249" s="3" t="s">
        <v>24</v>
      </c>
      <c r="F249" s="3" t="s">
        <v>15</v>
      </c>
      <c r="G249" s="4">
        <v>45174</v>
      </c>
      <c r="H249" s="5">
        <v>387</v>
      </c>
      <c r="I249" s="5">
        <v>6.28</v>
      </c>
      <c r="J249" s="5">
        <v>210.62</v>
      </c>
    </row>
    <row r="250" spans="1:10" ht="14.65" thickBot="1" x14ac:dyDescent="0.5">
      <c r="A250" s="3" t="s">
        <v>277</v>
      </c>
      <c r="B250" s="3" t="s">
        <v>22</v>
      </c>
      <c r="C250" s="3" t="s">
        <v>26</v>
      </c>
      <c r="D250" s="3" t="s">
        <v>19</v>
      </c>
      <c r="E250" s="3" t="s">
        <v>14</v>
      </c>
      <c r="F250" s="3" t="s">
        <v>28</v>
      </c>
      <c r="G250" s="4">
        <v>45175</v>
      </c>
      <c r="H250" s="5">
        <v>396</v>
      </c>
      <c r="I250" s="5">
        <v>320.8</v>
      </c>
      <c r="J250" s="5">
        <v>339.52</v>
      </c>
    </row>
    <row r="251" spans="1:10" ht="28.9" thickBot="1" x14ac:dyDescent="0.5">
      <c r="A251" s="3" t="s">
        <v>278</v>
      </c>
      <c r="B251" s="3" t="s">
        <v>11</v>
      </c>
      <c r="C251" s="3" t="s">
        <v>26</v>
      </c>
      <c r="D251" s="3" t="s">
        <v>42</v>
      </c>
      <c r="E251" s="3" t="s">
        <v>14</v>
      </c>
      <c r="F251" s="3" t="s">
        <v>15</v>
      </c>
      <c r="G251" s="4">
        <v>45176</v>
      </c>
      <c r="H251" s="5">
        <v>413</v>
      </c>
      <c r="I251" s="5">
        <v>260.01</v>
      </c>
      <c r="J251" s="5">
        <v>336.31</v>
      </c>
    </row>
    <row r="252" spans="1:10" ht="28.9" thickBot="1" x14ac:dyDescent="0.5">
      <c r="A252" s="3" t="s">
        <v>279</v>
      </c>
      <c r="B252" s="3" t="s">
        <v>48</v>
      </c>
      <c r="C252" s="3" t="s">
        <v>31</v>
      </c>
      <c r="D252" s="3" t="s">
        <v>42</v>
      </c>
      <c r="E252" s="3" t="s">
        <v>14</v>
      </c>
      <c r="F252" s="3" t="s">
        <v>15</v>
      </c>
      <c r="G252" s="4">
        <v>45177</v>
      </c>
      <c r="H252" s="3"/>
      <c r="I252" s="5">
        <v>298.8</v>
      </c>
      <c r="J252" s="5">
        <v>333.41</v>
      </c>
    </row>
    <row r="253" spans="1:10" ht="14.65" thickBot="1" x14ac:dyDescent="0.5">
      <c r="A253" s="3" t="s">
        <v>280</v>
      </c>
      <c r="B253" s="3" t="s">
        <v>22</v>
      </c>
      <c r="C253" s="3" t="s">
        <v>18</v>
      </c>
      <c r="D253" s="3" t="s">
        <v>13</v>
      </c>
      <c r="E253" s="3" t="s">
        <v>24</v>
      </c>
      <c r="F253" s="3" t="s">
        <v>20</v>
      </c>
      <c r="G253" s="4">
        <v>45178</v>
      </c>
      <c r="H253" s="5">
        <v>24</v>
      </c>
      <c r="I253" s="5">
        <v>397.9</v>
      </c>
      <c r="J253" s="5">
        <v>6.39</v>
      </c>
    </row>
    <row r="254" spans="1:10" ht="14.65" thickBot="1" x14ac:dyDescent="0.5">
      <c r="A254" s="3" t="s">
        <v>281</v>
      </c>
      <c r="B254" s="3" t="s">
        <v>17</v>
      </c>
      <c r="C254" s="3" t="s">
        <v>12</v>
      </c>
      <c r="D254" s="3"/>
      <c r="E254" s="3" t="s">
        <v>14</v>
      </c>
      <c r="F254" s="3" t="s">
        <v>15</v>
      </c>
      <c r="G254" s="4">
        <v>45179</v>
      </c>
      <c r="H254" s="5">
        <v>162</v>
      </c>
      <c r="I254" s="5">
        <v>325.07</v>
      </c>
      <c r="J254" s="5">
        <v>300.32</v>
      </c>
    </row>
    <row r="255" spans="1:10" ht="28.9" thickBot="1" x14ac:dyDescent="0.5">
      <c r="A255" s="3" t="s">
        <v>282</v>
      </c>
      <c r="B255" s="3" t="s">
        <v>22</v>
      </c>
      <c r="C255" s="3" t="s">
        <v>26</v>
      </c>
      <c r="D255" s="3" t="s">
        <v>42</v>
      </c>
      <c r="E255" s="3" t="s">
        <v>24</v>
      </c>
      <c r="F255" s="3" t="s">
        <v>28</v>
      </c>
      <c r="G255" s="4">
        <v>45180</v>
      </c>
      <c r="H255" s="5">
        <v>231</v>
      </c>
      <c r="I255" s="5">
        <v>91.51</v>
      </c>
      <c r="J255" s="5">
        <v>303.95</v>
      </c>
    </row>
    <row r="256" spans="1:10" ht="14.65" thickBot="1" x14ac:dyDescent="0.5">
      <c r="A256" s="3" t="s">
        <v>283</v>
      </c>
      <c r="B256" s="3" t="s">
        <v>22</v>
      </c>
      <c r="C256" s="3" t="s">
        <v>50</v>
      </c>
      <c r="D256" s="3" t="s">
        <v>19</v>
      </c>
      <c r="E256" s="3" t="s">
        <v>24</v>
      </c>
      <c r="F256" s="3" t="s">
        <v>28</v>
      </c>
      <c r="G256" s="4">
        <v>45181</v>
      </c>
      <c r="H256" s="5">
        <v>215</v>
      </c>
      <c r="I256" s="5">
        <v>183.58</v>
      </c>
      <c r="J256" s="5">
        <v>271.99</v>
      </c>
    </row>
    <row r="257" spans="1:10" ht="14.65" thickBot="1" x14ac:dyDescent="0.5">
      <c r="A257" s="3" t="s">
        <v>284</v>
      </c>
      <c r="B257" s="3" t="s">
        <v>11</v>
      </c>
      <c r="C257" s="3" t="s">
        <v>26</v>
      </c>
      <c r="D257" s="3" t="s">
        <v>27</v>
      </c>
      <c r="E257" s="3" t="s">
        <v>24</v>
      </c>
      <c r="F257" s="3" t="s">
        <v>15</v>
      </c>
      <c r="G257" s="4">
        <v>45182</v>
      </c>
      <c r="H257" s="5">
        <v>464</v>
      </c>
      <c r="I257" s="5">
        <v>453.42</v>
      </c>
      <c r="J257" s="5">
        <v>302.99</v>
      </c>
    </row>
    <row r="258" spans="1:10" ht="14.65" thickBot="1" x14ac:dyDescent="0.5">
      <c r="A258" s="3" t="s">
        <v>285</v>
      </c>
      <c r="B258" s="3" t="s">
        <v>11</v>
      </c>
      <c r="C258" s="3" t="s">
        <v>50</v>
      </c>
      <c r="D258" s="3" t="s">
        <v>23</v>
      </c>
      <c r="E258" s="3" t="s">
        <v>14</v>
      </c>
      <c r="F258" s="3" t="s">
        <v>20</v>
      </c>
      <c r="G258" s="4">
        <v>45183</v>
      </c>
      <c r="H258" s="5">
        <v>282</v>
      </c>
      <c r="I258" s="3"/>
      <c r="J258" s="5">
        <v>337.1</v>
      </c>
    </row>
    <row r="259" spans="1:10" ht="28.9" thickBot="1" x14ac:dyDescent="0.5">
      <c r="A259" s="3" t="s">
        <v>286</v>
      </c>
      <c r="B259" s="3" t="s">
        <v>48</v>
      </c>
      <c r="C259" s="3" t="s">
        <v>31</v>
      </c>
      <c r="D259" s="3" t="s">
        <v>42</v>
      </c>
      <c r="E259" s="3" t="s">
        <v>14</v>
      </c>
      <c r="F259" s="3" t="s">
        <v>20</v>
      </c>
      <c r="G259" s="4">
        <v>45184</v>
      </c>
      <c r="H259" s="5">
        <v>391</v>
      </c>
      <c r="I259" s="5">
        <v>280.54000000000002</v>
      </c>
      <c r="J259" s="5">
        <v>189.19</v>
      </c>
    </row>
    <row r="260" spans="1:10" ht="14.65" thickBot="1" x14ac:dyDescent="0.5">
      <c r="A260" s="3" t="s">
        <v>287</v>
      </c>
      <c r="B260" s="3" t="s">
        <v>17</v>
      </c>
      <c r="C260" s="3" t="s">
        <v>50</v>
      </c>
      <c r="D260" s="3" t="s">
        <v>13</v>
      </c>
      <c r="E260" s="3" t="s">
        <v>14</v>
      </c>
      <c r="F260" s="3" t="s">
        <v>15</v>
      </c>
      <c r="G260" s="4">
        <v>45185</v>
      </c>
      <c r="H260" s="5">
        <v>245</v>
      </c>
      <c r="I260" s="5">
        <v>131.54</v>
      </c>
      <c r="J260" s="5">
        <v>201.82</v>
      </c>
    </row>
    <row r="261" spans="1:10" ht="14.65" thickBot="1" x14ac:dyDescent="0.5">
      <c r="A261" s="3" t="s">
        <v>288</v>
      </c>
      <c r="B261" s="3" t="s">
        <v>11</v>
      </c>
      <c r="C261" s="3" t="s">
        <v>12</v>
      </c>
      <c r="D261" s="3" t="s">
        <v>27</v>
      </c>
      <c r="E261" s="3" t="s">
        <v>14</v>
      </c>
      <c r="F261" s="3" t="s">
        <v>15</v>
      </c>
      <c r="G261" s="4">
        <v>45186</v>
      </c>
      <c r="H261" s="5">
        <v>349</v>
      </c>
      <c r="I261" s="5">
        <v>154.52000000000001</v>
      </c>
      <c r="J261" s="5">
        <v>51.64</v>
      </c>
    </row>
    <row r="262" spans="1:10" ht="14.65" thickBot="1" x14ac:dyDescent="0.5">
      <c r="A262" s="3" t="s">
        <v>289</v>
      </c>
      <c r="B262" s="3" t="s">
        <v>22</v>
      </c>
      <c r="C262" s="3" t="s">
        <v>18</v>
      </c>
      <c r="D262" s="3" t="s">
        <v>19</v>
      </c>
      <c r="E262" s="3" t="s">
        <v>24</v>
      </c>
      <c r="F262" s="3" t="s">
        <v>28</v>
      </c>
      <c r="G262" s="4">
        <v>45187</v>
      </c>
      <c r="H262" s="5">
        <v>237</v>
      </c>
      <c r="I262" s="3"/>
      <c r="J262" s="5">
        <v>155.38</v>
      </c>
    </row>
    <row r="263" spans="1:10" ht="14.65" thickBot="1" x14ac:dyDescent="0.5">
      <c r="A263" s="3" t="s">
        <v>290</v>
      </c>
      <c r="B263" s="3" t="s">
        <v>48</v>
      </c>
      <c r="C263" s="3" t="s">
        <v>50</v>
      </c>
      <c r="D263" s="3" t="s">
        <v>27</v>
      </c>
      <c r="E263" s="3" t="s">
        <v>24</v>
      </c>
      <c r="F263" s="3" t="s">
        <v>15</v>
      </c>
      <c r="G263" s="4">
        <v>45188</v>
      </c>
      <c r="H263" s="5">
        <v>18</v>
      </c>
      <c r="I263" s="5">
        <v>426.33</v>
      </c>
      <c r="J263" s="5">
        <v>258.06</v>
      </c>
    </row>
    <row r="264" spans="1:10" ht="28.9" thickBot="1" x14ac:dyDescent="0.5">
      <c r="A264" s="3" t="s">
        <v>291</v>
      </c>
      <c r="B264" s="3" t="s">
        <v>22</v>
      </c>
      <c r="C264" s="3" t="s">
        <v>50</v>
      </c>
      <c r="D264" s="3" t="s">
        <v>42</v>
      </c>
      <c r="E264" s="3" t="s">
        <v>24</v>
      </c>
      <c r="F264" s="3" t="s">
        <v>20</v>
      </c>
      <c r="G264" s="4">
        <v>45189</v>
      </c>
      <c r="H264" s="5">
        <v>175</v>
      </c>
      <c r="I264" s="5">
        <v>337.36</v>
      </c>
      <c r="J264" s="5">
        <v>312.60000000000002</v>
      </c>
    </row>
    <row r="265" spans="1:10" ht="14.65" thickBot="1" x14ac:dyDescent="0.5">
      <c r="A265" s="3" t="s">
        <v>292</v>
      </c>
      <c r="B265" s="3" t="s">
        <v>22</v>
      </c>
      <c r="C265" s="3" t="s">
        <v>18</v>
      </c>
      <c r="D265" s="3"/>
      <c r="E265" s="3" t="s">
        <v>14</v>
      </c>
      <c r="F265" s="3" t="s">
        <v>15</v>
      </c>
      <c r="G265" s="4">
        <v>45190</v>
      </c>
      <c r="H265" s="5">
        <v>441</v>
      </c>
      <c r="I265" s="5">
        <v>405.72</v>
      </c>
      <c r="J265" s="5">
        <v>88.45</v>
      </c>
    </row>
    <row r="266" spans="1:10" ht="14.65" thickBot="1" x14ac:dyDescent="0.5">
      <c r="A266" s="3" t="s">
        <v>293</v>
      </c>
      <c r="B266" s="3" t="s">
        <v>11</v>
      </c>
      <c r="C266" s="3" t="s">
        <v>12</v>
      </c>
      <c r="D266" s="3" t="s">
        <v>23</v>
      </c>
      <c r="E266" s="3" t="s">
        <v>24</v>
      </c>
      <c r="F266" s="3" t="s">
        <v>28</v>
      </c>
      <c r="G266" s="4">
        <v>45191</v>
      </c>
      <c r="H266" s="5">
        <v>453</v>
      </c>
      <c r="I266" s="5">
        <v>384.49</v>
      </c>
      <c r="J266" s="5">
        <v>56.85</v>
      </c>
    </row>
    <row r="267" spans="1:10" ht="14.65" thickBot="1" x14ac:dyDescent="0.5">
      <c r="A267" s="3" t="s">
        <v>294</v>
      </c>
      <c r="B267" s="3" t="s">
        <v>48</v>
      </c>
      <c r="C267" s="3" t="s">
        <v>26</v>
      </c>
      <c r="D267" s="3" t="s">
        <v>27</v>
      </c>
      <c r="E267" s="3" t="s">
        <v>14</v>
      </c>
      <c r="F267" s="3" t="s">
        <v>28</v>
      </c>
      <c r="G267" s="4">
        <v>45192</v>
      </c>
      <c r="H267" s="5">
        <v>328</v>
      </c>
      <c r="I267" s="5">
        <v>79.099999999999994</v>
      </c>
      <c r="J267" s="5">
        <v>265.89</v>
      </c>
    </row>
    <row r="268" spans="1:10" ht="28.9" thickBot="1" x14ac:dyDescent="0.5">
      <c r="A268" s="3" t="s">
        <v>295</v>
      </c>
      <c r="B268" s="3" t="s">
        <v>17</v>
      </c>
      <c r="C268" s="3" t="s">
        <v>50</v>
      </c>
      <c r="D268" s="3" t="s">
        <v>42</v>
      </c>
      <c r="E268" s="3" t="s">
        <v>24</v>
      </c>
      <c r="F268" s="3" t="s">
        <v>28</v>
      </c>
      <c r="G268" s="4">
        <v>45193</v>
      </c>
      <c r="H268" s="5">
        <v>223</v>
      </c>
      <c r="I268" s="5">
        <v>214.85</v>
      </c>
      <c r="J268" s="5">
        <v>2.75</v>
      </c>
    </row>
    <row r="269" spans="1:10" ht="14.65" thickBot="1" x14ac:dyDescent="0.5">
      <c r="A269" s="3" t="s">
        <v>296</v>
      </c>
      <c r="B269" s="3" t="s">
        <v>17</v>
      </c>
      <c r="C269" s="3" t="s">
        <v>18</v>
      </c>
      <c r="D269" s="3" t="s">
        <v>13</v>
      </c>
      <c r="E269" s="3" t="s">
        <v>14</v>
      </c>
      <c r="F269" s="3" t="s">
        <v>28</v>
      </c>
      <c r="G269" s="4">
        <v>45194</v>
      </c>
      <c r="H269" s="5">
        <v>126</v>
      </c>
      <c r="I269" s="5">
        <v>80.73</v>
      </c>
      <c r="J269" s="5">
        <v>72.989999999999995</v>
      </c>
    </row>
    <row r="270" spans="1:10" ht="14.65" thickBot="1" x14ac:dyDescent="0.5">
      <c r="A270" s="3" t="s">
        <v>297</v>
      </c>
      <c r="B270" s="3" t="s">
        <v>11</v>
      </c>
      <c r="C270" s="3" t="s">
        <v>31</v>
      </c>
      <c r="D270" s="3" t="s">
        <v>19</v>
      </c>
      <c r="E270" s="3" t="s">
        <v>14</v>
      </c>
      <c r="F270" s="3" t="s">
        <v>28</v>
      </c>
      <c r="G270" s="4">
        <v>45195</v>
      </c>
      <c r="H270" s="5">
        <v>395</v>
      </c>
      <c r="I270" s="5">
        <v>121.44</v>
      </c>
      <c r="J270" s="5">
        <v>13.57</v>
      </c>
    </row>
    <row r="271" spans="1:10" ht="14.65" thickBot="1" x14ac:dyDescent="0.5">
      <c r="A271" s="3" t="s">
        <v>298</v>
      </c>
      <c r="B271" s="3" t="s">
        <v>11</v>
      </c>
      <c r="C271" s="3" t="s">
        <v>18</v>
      </c>
      <c r="D271" s="3" t="s">
        <v>27</v>
      </c>
      <c r="E271" s="3" t="s">
        <v>24</v>
      </c>
      <c r="F271" s="3" t="s">
        <v>15</v>
      </c>
      <c r="G271" s="4">
        <v>45196</v>
      </c>
      <c r="H271" s="5">
        <v>353</v>
      </c>
      <c r="I271" s="5">
        <v>435.28</v>
      </c>
      <c r="J271" s="5">
        <v>68.42</v>
      </c>
    </row>
    <row r="272" spans="1:10" ht="14.65" thickBot="1" x14ac:dyDescent="0.5">
      <c r="A272" s="3" t="s">
        <v>299</v>
      </c>
      <c r="B272" s="3" t="s">
        <v>48</v>
      </c>
      <c r="C272" s="3" t="s">
        <v>31</v>
      </c>
      <c r="D272" s="3" t="s">
        <v>27</v>
      </c>
      <c r="E272" s="3" t="s">
        <v>24</v>
      </c>
      <c r="F272" s="3" t="s">
        <v>15</v>
      </c>
      <c r="G272" s="4">
        <v>45197</v>
      </c>
      <c r="H272" s="5">
        <v>81</v>
      </c>
      <c r="I272" s="5">
        <v>239.08</v>
      </c>
      <c r="J272" s="5">
        <v>74.17</v>
      </c>
    </row>
    <row r="273" spans="1:10" ht="14.65" thickBot="1" x14ac:dyDescent="0.5">
      <c r="A273" s="3" t="s">
        <v>300</v>
      </c>
      <c r="B273" s="3" t="s">
        <v>17</v>
      </c>
      <c r="C273" s="3" t="s">
        <v>12</v>
      </c>
      <c r="D273" s="3" t="s">
        <v>23</v>
      </c>
      <c r="E273" s="3" t="s">
        <v>24</v>
      </c>
      <c r="F273" s="3" t="s">
        <v>15</v>
      </c>
      <c r="G273" s="4">
        <v>45198</v>
      </c>
      <c r="H273" s="5">
        <v>404</v>
      </c>
      <c r="I273" s="5">
        <v>270</v>
      </c>
      <c r="J273" s="5">
        <v>156.29</v>
      </c>
    </row>
    <row r="274" spans="1:10" ht="14.65" thickBot="1" x14ac:dyDescent="0.5">
      <c r="A274" s="3" t="s">
        <v>301</v>
      </c>
      <c r="B274" s="3" t="s">
        <v>17</v>
      </c>
      <c r="C274" s="3" t="s">
        <v>26</v>
      </c>
      <c r="D274" s="3" t="s">
        <v>23</v>
      </c>
      <c r="E274" s="3" t="s">
        <v>24</v>
      </c>
      <c r="F274" s="3" t="s">
        <v>15</v>
      </c>
      <c r="G274" s="4">
        <v>45199</v>
      </c>
      <c r="H274" s="5">
        <v>73</v>
      </c>
      <c r="I274" s="5">
        <v>93.33</v>
      </c>
      <c r="J274" s="5">
        <v>162.13</v>
      </c>
    </row>
    <row r="275" spans="1:10" ht="14.65" thickBot="1" x14ac:dyDescent="0.5">
      <c r="A275" s="3" t="s">
        <v>302</v>
      </c>
      <c r="B275" s="3" t="s">
        <v>17</v>
      </c>
      <c r="C275" s="3" t="s">
        <v>18</v>
      </c>
      <c r="D275" s="3" t="s">
        <v>13</v>
      </c>
      <c r="E275" s="3" t="s">
        <v>14</v>
      </c>
      <c r="F275" s="3" t="s">
        <v>28</v>
      </c>
      <c r="G275" s="4">
        <v>45200</v>
      </c>
      <c r="H275" s="5">
        <v>214</v>
      </c>
      <c r="I275" s="5">
        <v>159.57</v>
      </c>
      <c r="J275" s="5">
        <v>349.96</v>
      </c>
    </row>
    <row r="276" spans="1:10" ht="14.65" thickBot="1" x14ac:dyDescent="0.5">
      <c r="A276" s="3" t="s">
        <v>303</v>
      </c>
      <c r="B276" s="3" t="s">
        <v>22</v>
      </c>
      <c r="C276" s="3" t="s">
        <v>50</v>
      </c>
      <c r="D276" s="3" t="s">
        <v>13</v>
      </c>
      <c r="E276" s="3" t="s">
        <v>24</v>
      </c>
      <c r="F276" s="3" t="s">
        <v>20</v>
      </c>
      <c r="G276" s="4">
        <v>45201</v>
      </c>
      <c r="H276" s="5">
        <v>218</v>
      </c>
      <c r="I276" s="5">
        <v>118.97</v>
      </c>
      <c r="J276" s="5">
        <v>205.02</v>
      </c>
    </row>
    <row r="277" spans="1:10" ht="28.9" thickBot="1" x14ac:dyDescent="0.5">
      <c r="A277" s="3" t="s">
        <v>304</v>
      </c>
      <c r="B277" s="3" t="s">
        <v>17</v>
      </c>
      <c r="C277" s="3" t="s">
        <v>12</v>
      </c>
      <c r="D277" s="3" t="s">
        <v>42</v>
      </c>
      <c r="E277" s="3" t="s">
        <v>24</v>
      </c>
      <c r="F277" s="3" t="s">
        <v>15</v>
      </c>
      <c r="G277" s="4">
        <v>45202</v>
      </c>
      <c r="H277" s="5">
        <v>81</v>
      </c>
      <c r="I277" s="5">
        <v>107.06</v>
      </c>
      <c r="J277" s="5">
        <v>289.92</v>
      </c>
    </row>
    <row r="278" spans="1:10" ht="28.9" thickBot="1" x14ac:dyDescent="0.5">
      <c r="A278" s="3" t="s">
        <v>305</v>
      </c>
      <c r="B278" s="3" t="s">
        <v>22</v>
      </c>
      <c r="C278" s="3" t="s">
        <v>18</v>
      </c>
      <c r="D278" s="3" t="s">
        <v>42</v>
      </c>
      <c r="E278" s="3" t="s">
        <v>24</v>
      </c>
      <c r="F278" s="3" t="s">
        <v>20</v>
      </c>
      <c r="G278" s="4">
        <v>45203</v>
      </c>
      <c r="H278" s="5">
        <v>286</v>
      </c>
      <c r="I278" s="5">
        <v>320.79000000000002</v>
      </c>
      <c r="J278" s="5">
        <v>43.45</v>
      </c>
    </row>
    <row r="279" spans="1:10" ht="14.65" thickBot="1" x14ac:dyDescent="0.5">
      <c r="A279" s="3" t="s">
        <v>306</v>
      </c>
      <c r="B279" s="3" t="s">
        <v>48</v>
      </c>
      <c r="C279" s="3" t="s">
        <v>50</v>
      </c>
      <c r="D279" s="3" t="s">
        <v>13</v>
      </c>
      <c r="E279" s="3" t="s">
        <v>14</v>
      </c>
      <c r="F279" s="3" t="s">
        <v>15</v>
      </c>
      <c r="G279" s="4">
        <v>45204</v>
      </c>
      <c r="H279" s="5">
        <v>283</v>
      </c>
      <c r="I279" s="5">
        <v>132.16</v>
      </c>
      <c r="J279" s="5">
        <v>91.72</v>
      </c>
    </row>
    <row r="280" spans="1:10" ht="14.65" thickBot="1" x14ac:dyDescent="0.5">
      <c r="A280" s="3" t="s">
        <v>307</v>
      </c>
      <c r="B280" s="3" t="s">
        <v>22</v>
      </c>
      <c r="C280" s="3" t="s">
        <v>18</v>
      </c>
      <c r="D280" s="3" t="s">
        <v>13</v>
      </c>
      <c r="E280" s="3" t="s">
        <v>14</v>
      </c>
      <c r="F280" s="3" t="s">
        <v>15</v>
      </c>
      <c r="G280" s="4">
        <v>45205</v>
      </c>
      <c r="H280" s="5">
        <v>487</v>
      </c>
      <c r="I280" s="5">
        <v>317.85000000000002</v>
      </c>
      <c r="J280" s="5">
        <v>281.77</v>
      </c>
    </row>
    <row r="281" spans="1:10" ht="14.65" thickBot="1" x14ac:dyDescent="0.5">
      <c r="A281" s="3" t="s">
        <v>308</v>
      </c>
      <c r="B281" s="3" t="s">
        <v>48</v>
      </c>
      <c r="C281" s="3" t="s">
        <v>31</v>
      </c>
      <c r="D281" s="3" t="s">
        <v>19</v>
      </c>
      <c r="E281" s="3" t="s">
        <v>24</v>
      </c>
      <c r="F281" s="3" t="s">
        <v>20</v>
      </c>
      <c r="G281" s="4">
        <v>45206</v>
      </c>
      <c r="H281" s="5">
        <v>329</v>
      </c>
      <c r="I281" s="5">
        <v>33.94</v>
      </c>
      <c r="J281" s="5">
        <v>23.02</v>
      </c>
    </row>
    <row r="282" spans="1:10" ht="14.65" thickBot="1" x14ac:dyDescent="0.5">
      <c r="A282" s="3" t="s">
        <v>309</v>
      </c>
      <c r="B282" s="3" t="s">
        <v>17</v>
      </c>
      <c r="C282" s="3" t="s">
        <v>18</v>
      </c>
      <c r="D282" s="3" t="s">
        <v>23</v>
      </c>
      <c r="E282" s="3" t="s">
        <v>14</v>
      </c>
      <c r="F282" s="3" t="s">
        <v>28</v>
      </c>
      <c r="G282" s="4">
        <v>45207</v>
      </c>
      <c r="H282" s="5">
        <v>347</v>
      </c>
      <c r="I282" s="5">
        <v>75.180000000000007</v>
      </c>
      <c r="J282" s="5">
        <v>195.67</v>
      </c>
    </row>
    <row r="283" spans="1:10" ht="28.9" thickBot="1" x14ac:dyDescent="0.5">
      <c r="A283" s="3" t="s">
        <v>310</v>
      </c>
      <c r="B283" s="3" t="s">
        <v>17</v>
      </c>
      <c r="C283" s="3" t="s">
        <v>18</v>
      </c>
      <c r="D283" s="3" t="s">
        <v>42</v>
      </c>
      <c r="E283" s="3" t="s">
        <v>24</v>
      </c>
      <c r="F283" s="3" t="s">
        <v>15</v>
      </c>
      <c r="G283" s="4">
        <v>45208</v>
      </c>
      <c r="H283" s="5">
        <v>375</v>
      </c>
      <c r="I283" s="5">
        <v>140.9</v>
      </c>
      <c r="J283" s="5">
        <v>240.55</v>
      </c>
    </row>
    <row r="284" spans="1:10" ht="14.65" thickBot="1" x14ac:dyDescent="0.5">
      <c r="A284" s="3" t="s">
        <v>311</v>
      </c>
      <c r="B284" s="3" t="s">
        <v>48</v>
      </c>
      <c r="C284" s="3" t="s">
        <v>18</v>
      </c>
      <c r="D284" s="3" t="s">
        <v>23</v>
      </c>
      <c r="E284" s="3" t="s">
        <v>14</v>
      </c>
      <c r="F284" s="3" t="s">
        <v>15</v>
      </c>
      <c r="G284" s="4">
        <v>45209</v>
      </c>
      <c r="H284" s="5">
        <v>104</v>
      </c>
      <c r="I284" s="5">
        <v>300.54000000000002</v>
      </c>
      <c r="J284" s="5">
        <v>241.65</v>
      </c>
    </row>
    <row r="285" spans="1:10" ht="14.65" thickBot="1" x14ac:dyDescent="0.5">
      <c r="A285" s="3" t="s">
        <v>312</v>
      </c>
      <c r="B285" s="3" t="s">
        <v>11</v>
      </c>
      <c r="C285" s="3" t="s">
        <v>12</v>
      </c>
      <c r="D285" s="3"/>
      <c r="E285" s="3" t="s">
        <v>14</v>
      </c>
      <c r="F285" s="3" t="s">
        <v>15</v>
      </c>
      <c r="G285" s="4">
        <v>45210</v>
      </c>
      <c r="H285" s="5">
        <v>175</v>
      </c>
      <c r="I285" s="5">
        <v>339.54</v>
      </c>
      <c r="J285" s="5">
        <v>11.13</v>
      </c>
    </row>
    <row r="286" spans="1:10" ht="14.65" thickBot="1" x14ac:dyDescent="0.5">
      <c r="A286" s="3" t="s">
        <v>313</v>
      </c>
      <c r="B286" s="3" t="s">
        <v>48</v>
      </c>
      <c r="C286" s="3" t="s">
        <v>18</v>
      </c>
      <c r="D286" s="3" t="s">
        <v>13</v>
      </c>
      <c r="E286" s="3" t="s">
        <v>14</v>
      </c>
      <c r="F286" s="3" t="s">
        <v>20</v>
      </c>
      <c r="G286" s="4">
        <v>45211</v>
      </c>
      <c r="H286" s="5">
        <v>41</v>
      </c>
      <c r="I286" s="5">
        <v>224.14</v>
      </c>
      <c r="J286" s="5">
        <v>130.19999999999999</v>
      </c>
    </row>
    <row r="287" spans="1:10" ht="14.65" thickBot="1" x14ac:dyDescent="0.5">
      <c r="A287" s="3" t="s">
        <v>314</v>
      </c>
      <c r="B287" s="3" t="s">
        <v>11</v>
      </c>
      <c r="C287" s="3" t="s">
        <v>50</v>
      </c>
      <c r="D287" s="3" t="s">
        <v>19</v>
      </c>
      <c r="E287" s="3" t="s">
        <v>14</v>
      </c>
      <c r="F287" s="3" t="s">
        <v>28</v>
      </c>
      <c r="G287" s="4">
        <v>45212</v>
      </c>
      <c r="H287" s="5">
        <v>20</v>
      </c>
      <c r="I287" s="5">
        <v>225.67</v>
      </c>
      <c r="J287" s="5">
        <v>255.32</v>
      </c>
    </row>
    <row r="288" spans="1:10" ht="14.65" thickBot="1" x14ac:dyDescent="0.5">
      <c r="A288" s="3" t="s">
        <v>315</v>
      </c>
      <c r="B288" s="3" t="s">
        <v>22</v>
      </c>
      <c r="C288" s="3" t="s">
        <v>31</v>
      </c>
      <c r="D288" s="3" t="s">
        <v>27</v>
      </c>
      <c r="E288" s="3" t="s">
        <v>24</v>
      </c>
      <c r="F288" s="3" t="s">
        <v>20</v>
      </c>
      <c r="G288" s="4">
        <v>45213</v>
      </c>
      <c r="H288" s="5">
        <v>310</v>
      </c>
      <c r="I288" s="5">
        <v>363.64</v>
      </c>
      <c r="J288" s="5">
        <v>61.3</v>
      </c>
    </row>
    <row r="289" spans="1:10" ht="14.65" thickBot="1" x14ac:dyDescent="0.5">
      <c r="A289" s="3" t="s">
        <v>316</v>
      </c>
      <c r="B289" s="3" t="s">
        <v>22</v>
      </c>
      <c r="C289" s="3" t="s">
        <v>31</v>
      </c>
      <c r="D289" s="3" t="s">
        <v>19</v>
      </c>
      <c r="E289" s="3" t="s">
        <v>24</v>
      </c>
      <c r="F289" s="3" t="s">
        <v>20</v>
      </c>
      <c r="G289" s="4">
        <v>45214</v>
      </c>
      <c r="H289" s="5">
        <v>226</v>
      </c>
      <c r="I289" s="3"/>
      <c r="J289" s="5">
        <v>278.77999999999997</v>
      </c>
    </row>
    <row r="290" spans="1:10" ht="14.65" thickBot="1" x14ac:dyDescent="0.5">
      <c r="A290" s="3" t="s">
        <v>317</v>
      </c>
      <c r="B290" s="3" t="s">
        <v>22</v>
      </c>
      <c r="C290" s="3" t="s">
        <v>18</v>
      </c>
      <c r="D290" s="3" t="s">
        <v>19</v>
      </c>
      <c r="E290" s="3" t="s">
        <v>24</v>
      </c>
      <c r="F290" s="3" t="s">
        <v>28</v>
      </c>
      <c r="G290" s="4">
        <v>45215</v>
      </c>
      <c r="H290" s="3"/>
      <c r="I290" s="5">
        <v>173.84</v>
      </c>
      <c r="J290" s="5">
        <v>298.88</v>
      </c>
    </row>
    <row r="291" spans="1:10" ht="14.65" thickBot="1" x14ac:dyDescent="0.5">
      <c r="A291" s="3" t="s">
        <v>318</v>
      </c>
      <c r="B291" s="3" t="s">
        <v>17</v>
      </c>
      <c r="C291" s="3" t="s">
        <v>12</v>
      </c>
      <c r="D291" s="3" t="s">
        <v>23</v>
      </c>
      <c r="E291" s="3" t="s">
        <v>14</v>
      </c>
      <c r="F291" s="3" t="s">
        <v>20</v>
      </c>
      <c r="G291" s="4">
        <v>45216</v>
      </c>
      <c r="H291" s="5">
        <v>111</v>
      </c>
      <c r="I291" s="5">
        <v>410.26</v>
      </c>
      <c r="J291" s="5">
        <v>392.82</v>
      </c>
    </row>
    <row r="292" spans="1:10" ht="14.65" thickBot="1" x14ac:dyDescent="0.5">
      <c r="A292" s="3" t="s">
        <v>319</v>
      </c>
      <c r="B292" s="3" t="s">
        <v>22</v>
      </c>
      <c r="C292" s="3" t="s">
        <v>12</v>
      </c>
      <c r="D292" s="3" t="s">
        <v>19</v>
      </c>
      <c r="E292" s="3" t="s">
        <v>24</v>
      </c>
      <c r="F292" s="3" t="s">
        <v>28</v>
      </c>
      <c r="G292" s="4">
        <v>45217</v>
      </c>
      <c r="H292" s="5">
        <v>434</v>
      </c>
      <c r="I292" s="5">
        <v>303.58999999999997</v>
      </c>
      <c r="J292" s="5">
        <v>85.52</v>
      </c>
    </row>
    <row r="293" spans="1:10" ht="28.9" thickBot="1" x14ac:dyDescent="0.5">
      <c r="A293" s="3" t="s">
        <v>320</v>
      </c>
      <c r="B293" s="3" t="s">
        <v>11</v>
      </c>
      <c r="C293" s="3" t="s">
        <v>50</v>
      </c>
      <c r="D293" s="3" t="s">
        <v>42</v>
      </c>
      <c r="E293" s="3" t="s">
        <v>24</v>
      </c>
      <c r="F293" s="3" t="s">
        <v>15</v>
      </c>
      <c r="G293" s="4">
        <v>45218</v>
      </c>
      <c r="H293" s="5">
        <v>401</v>
      </c>
      <c r="I293" s="5">
        <v>171.93</v>
      </c>
      <c r="J293" s="5">
        <v>330.4</v>
      </c>
    </row>
    <row r="294" spans="1:10" ht="14.65" thickBot="1" x14ac:dyDescent="0.5">
      <c r="A294" s="3" t="s">
        <v>321</v>
      </c>
      <c r="B294" s="3" t="s">
        <v>22</v>
      </c>
      <c r="C294" s="3" t="s">
        <v>18</v>
      </c>
      <c r="D294" s="3" t="s">
        <v>23</v>
      </c>
      <c r="E294" s="3" t="s">
        <v>24</v>
      </c>
      <c r="F294" s="3" t="s">
        <v>28</v>
      </c>
      <c r="G294" s="4">
        <v>45219</v>
      </c>
      <c r="H294" s="5">
        <v>276</v>
      </c>
      <c r="I294" s="5">
        <v>453.23</v>
      </c>
      <c r="J294" s="5">
        <v>209.08</v>
      </c>
    </row>
    <row r="295" spans="1:10" ht="28.9" thickBot="1" x14ac:dyDescent="0.5">
      <c r="A295" s="3" t="s">
        <v>322</v>
      </c>
      <c r="B295" s="3" t="s">
        <v>48</v>
      </c>
      <c r="C295" s="3" t="s">
        <v>31</v>
      </c>
      <c r="D295" s="3" t="s">
        <v>42</v>
      </c>
      <c r="E295" s="3" t="s">
        <v>14</v>
      </c>
      <c r="F295" s="3" t="s">
        <v>15</v>
      </c>
      <c r="G295" s="4">
        <v>45220</v>
      </c>
      <c r="H295" s="3"/>
      <c r="I295" s="5">
        <v>387.45</v>
      </c>
      <c r="J295" s="5">
        <v>150.63999999999999</v>
      </c>
    </row>
    <row r="296" spans="1:10" ht="14.65" thickBot="1" x14ac:dyDescent="0.5">
      <c r="A296" s="3" t="s">
        <v>323</v>
      </c>
      <c r="B296" s="3" t="s">
        <v>48</v>
      </c>
      <c r="C296" s="3" t="s">
        <v>12</v>
      </c>
      <c r="D296" s="3" t="s">
        <v>27</v>
      </c>
      <c r="E296" s="3" t="s">
        <v>14</v>
      </c>
      <c r="F296" s="3" t="s">
        <v>20</v>
      </c>
      <c r="G296" s="4">
        <v>45221</v>
      </c>
      <c r="H296" s="5">
        <v>188</v>
      </c>
      <c r="I296" s="5">
        <v>136.12</v>
      </c>
      <c r="J296" s="5">
        <v>50.71</v>
      </c>
    </row>
    <row r="297" spans="1:10" ht="14.65" thickBot="1" x14ac:dyDescent="0.5">
      <c r="A297" s="3" t="s">
        <v>324</v>
      </c>
      <c r="B297" s="3" t="s">
        <v>17</v>
      </c>
      <c r="C297" s="3" t="s">
        <v>18</v>
      </c>
      <c r="D297" s="3" t="s">
        <v>23</v>
      </c>
      <c r="E297" s="3" t="s">
        <v>14</v>
      </c>
      <c r="F297" s="3" t="s">
        <v>20</v>
      </c>
      <c r="G297" s="4">
        <v>45222</v>
      </c>
      <c r="H297" s="5">
        <v>97</v>
      </c>
      <c r="I297" s="5">
        <v>324.42</v>
      </c>
      <c r="J297" s="5">
        <v>294.73</v>
      </c>
    </row>
    <row r="298" spans="1:10" ht="14.65" thickBot="1" x14ac:dyDescent="0.5">
      <c r="A298" s="3" t="s">
        <v>325</v>
      </c>
      <c r="B298" s="3" t="s">
        <v>48</v>
      </c>
      <c r="C298" s="3" t="s">
        <v>12</v>
      </c>
      <c r="D298" s="3" t="s">
        <v>27</v>
      </c>
      <c r="E298" s="3" t="s">
        <v>24</v>
      </c>
      <c r="F298" s="3" t="s">
        <v>15</v>
      </c>
      <c r="G298" s="4">
        <v>45223</v>
      </c>
      <c r="H298" s="5">
        <v>50</v>
      </c>
      <c r="I298" s="5">
        <v>299.89999999999998</v>
      </c>
      <c r="J298" s="5">
        <v>95.87</v>
      </c>
    </row>
    <row r="299" spans="1:10" ht="14.65" thickBot="1" x14ac:dyDescent="0.5">
      <c r="A299" s="3" t="s">
        <v>326</v>
      </c>
      <c r="B299" s="3" t="s">
        <v>11</v>
      </c>
      <c r="C299" s="3" t="s">
        <v>12</v>
      </c>
      <c r="D299" s="3" t="s">
        <v>23</v>
      </c>
      <c r="E299" s="3" t="s">
        <v>24</v>
      </c>
      <c r="F299" s="3" t="s">
        <v>20</v>
      </c>
      <c r="G299" s="4">
        <v>45224</v>
      </c>
      <c r="H299" s="5">
        <v>410</v>
      </c>
      <c r="I299" s="5">
        <v>203.59</v>
      </c>
      <c r="J299" s="5">
        <v>149.83000000000001</v>
      </c>
    </row>
    <row r="300" spans="1:10" ht="14.65" thickBot="1" x14ac:dyDescent="0.5">
      <c r="A300" s="3" t="s">
        <v>327</v>
      </c>
      <c r="B300" s="3" t="s">
        <v>22</v>
      </c>
      <c r="C300" s="3" t="s">
        <v>31</v>
      </c>
      <c r="D300" s="3" t="s">
        <v>13</v>
      </c>
      <c r="E300" s="3" t="s">
        <v>24</v>
      </c>
      <c r="F300" s="3" t="s">
        <v>28</v>
      </c>
      <c r="G300" s="4">
        <v>45225</v>
      </c>
      <c r="H300" s="5">
        <v>85</v>
      </c>
      <c r="I300" s="5">
        <v>186.64</v>
      </c>
      <c r="J300" s="5">
        <v>26.89</v>
      </c>
    </row>
    <row r="301" spans="1:10" ht="14.65" thickBot="1" x14ac:dyDescent="0.5">
      <c r="A301" s="3" t="s">
        <v>328</v>
      </c>
      <c r="B301" s="3" t="s">
        <v>17</v>
      </c>
      <c r="C301" s="3" t="s">
        <v>26</v>
      </c>
      <c r="D301" s="3" t="s">
        <v>19</v>
      </c>
      <c r="E301" s="3" t="s">
        <v>14</v>
      </c>
      <c r="F301" s="3" t="s">
        <v>15</v>
      </c>
      <c r="G301" s="4">
        <v>45226</v>
      </c>
      <c r="H301" s="5">
        <v>386</v>
      </c>
      <c r="I301" s="5">
        <v>175.06</v>
      </c>
      <c r="J301" s="5">
        <v>320.94</v>
      </c>
    </row>
    <row r="302" spans="1:10" ht="14.65" thickBot="1" x14ac:dyDescent="0.5">
      <c r="A302" s="3" t="s">
        <v>329</v>
      </c>
      <c r="B302" s="3" t="s">
        <v>22</v>
      </c>
      <c r="C302" s="3" t="s">
        <v>50</v>
      </c>
      <c r="D302" s="3" t="s">
        <v>13</v>
      </c>
      <c r="E302" s="3" t="s">
        <v>14</v>
      </c>
      <c r="F302" s="3" t="s">
        <v>20</v>
      </c>
      <c r="G302" s="4">
        <v>45227</v>
      </c>
      <c r="H302" s="5">
        <v>55</v>
      </c>
      <c r="I302" s="5">
        <v>310.49</v>
      </c>
      <c r="J302" s="5">
        <v>307.10000000000002</v>
      </c>
    </row>
    <row r="303" spans="1:10" ht="14.65" thickBot="1" x14ac:dyDescent="0.5">
      <c r="A303" s="3" t="s">
        <v>330</v>
      </c>
      <c r="B303" s="3" t="s">
        <v>22</v>
      </c>
      <c r="C303" s="3" t="s">
        <v>50</v>
      </c>
      <c r="D303" s="3" t="s">
        <v>27</v>
      </c>
      <c r="E303" s="3" t="s">
        <v>24</v>
      </c>
      <c r="F303" s="3" t="s">
        <v>15</v>
      </c>
      <c r="G303" s="4">
        <v>45228</v>
      </c>
      <c r="H303" s="5">
        <v>169</v>
      </c>
      <c r="I303" s="5">
        <v>223.99</v>
      </c>
      <c r="J303" s="5">
        <v>293.98</v>
      </c>
    </row>
    <row r="304" spans="1:10" ht="14.65" thickBot="1" x14ac:dyDescent="0.5">
      <c r="A304" s="3" t="s">
        <v>331</v>
      </c>
      <c r="B304" s="3" t="s">
        <v>11</v>
      </c>
      <c r="C304" s="3" t="s">
        <v>31</v>
      </c>
      <c r="D304" s="3" t="s">
        <v>19</v>
      </c>
      <c r="E304" s="3" t="s">
        <v>14</v>
      </c>
      <c r="F304" s="3" t="s">
        <v>28</v>
      </c>
      <c r="G304" s="4">
        <v>45229</v>
      </c>
      <c r="H304" s="5">
        <v>472</v>
      </c>
      <c r="I304" s="5">
        <v>416.77</v>
      </c>
      <c r="J304" s="5">
        <v>121.18</v>
      </c>
    </row>
    <row r="305" spans="1:10" ht="14.65" thickBot="1" x14ac:dyDescent="0.5">
      <c r="A305" s="3" t="s">
        <v>332</v>
      </c>
      <c r="B305" s="3" t="s">
        <v>48</v>
      </c>
      <c r="C305" s="3" t="s">
        <v>12</v>
      </c>
      <c r="D305" s="3" t="s">
        <v>23</v>
      </c>
      <c r="E305" s="3" t="s">
        <v>14</v>
      </c>
      <c r="F305" s="3" t="s">
        <v>28</v>
      </c>
      <c r="G305" s="4">
        <v>45230</v>
      </c>
      <c r="H305" s="5">
        <v>89</v>
      </c>
      <c r="I305" s="5">
        <v>336.45</v>
      </c>
      <c r="J305" s="5">
        <v>71.05</v>
      </c>
    </row>
    <row r="306" spans="1:10" ht="14.65" thickBot="1" x14ac:dyDescent="0.5">
      <c r="A306" s="3" t="s">
        <v>333</v>
      </c>
      <c r="B306" s="3" t="s">
        <v>48</v>
      </c>
      <c r="C306" s="3" t="s">
        <v>18</v>
      </c>
      <c r="D306" s="3" t="s">
        <v>19</v>
      </c>
      <c r="E306" s="3" t="s">
        <v>14</v>
      </c>
      <c r="F306" s="3" t="s">
        <v>20</v>
      </c>
      <c r="G306" s="4">
        <v>45231</v>
      </c>
      <c r="H306" s="5">
        <v>319</v>
      </c>
      <c r="I306" s="5">
        <v>39.619999999999997</v>
      </c>
      <c r="J306" s="5">
        <v>255.75</v>
      </c>
    </row>
    <row r="307" spans="1:10" ht="14.65" thickBot="1" x14ac:dyDescent="0.5">
      <c r="A307" s="3" t="s">
        <v>334</v>
      </c>
      <c r="B307" s="3" t="s">
        <v>22</v>
      </c>
      <c r="C307" s="3" t="s">
        <v>12</v>
      </c>
      <c r="D307" s="3"/>
      <c r="E307" s="3" t="s">
        <v>14</v>
      </c>
      <c r="F307" s="3" t="s">
        <v>28</v>
      </c>
      <c r="G307" s="4">
        <v>45232</v>
      </c>
      <c r="H307" s="5">
        <v>95</v>
      </c>
      <c r="I307" s="5">
        <v>321.88</v>
      </c>
      <c r="J307" s="5">
        <v>199.47</v>
      </c>
    </row>
    <row r="308" spans="1:10" ht="14.65" thickBot="1" x14ac:dyDescent="0.5">
      <c r="A308" s="3" t="s">
        <v>335</v>
      </c>
      <c r="B308" s="3" t="s">
        <v>17</v>
      </c>
      <c r="C308" s="3" t="s">
        <v>31</v>
      </c>
      <c r="D308" s="3"/>
      <c r="E308" s="3" t="s">
        <v>24</v>
      </c>
      <c r="F308" s="3" t="s">
        <v>15</v>
      </c>
      <c r="G308" s="4">
        <v>45233</v>
      </c>
      <c r="H308" s="5">
        <v>101</v>
      </c>
      <c r="I308" s="5">
        <v>139.22</v>
      </c>
      <c r="J308" s="5">
        <v>72.94</v>
      </c>
    </row>
    <row r="309" spans="1:10" ht="14.65" thickBot="1" x14ac:dyDescent="0.5">
      <c r="A309" s="3" t="s">
        <v>336</v>
      </c>
      <c r="B309" s="3" t="s">
        <v>48</v>
      </c>
      <c r="C309" s="3" t="s">
        <v>50</v>
      </c>
      <c r="D309" s="3"/>
      <c r="E309" s="3" t="s">
        <v>14</v>
      </c>
      <c r="F309" s="3" t="s">
        <v>28</v>
      </c>
      <c r="G309" s="4">
        <v>45234</v>
      </c>
      <c r="H309" s="5">
        <v>157</v>
      </c>
      <c r="I309" s="3"/>
      <c r="J309" s="5">
        <v>274.99</v>
      </c>
    </row>
    <row r="310" spans="1:10" ht="14.65" thickBot="1" x14ac:dyDescent="0.5">
      <c r="A310" s="3" t="s">
        <v>337</v>
      </c>
      <c r="B310" s="3" t="s">
        <v>17</v>
      </c>
      <c r="C310" s="3" t="s">
        <v>12</v>
      </c>
      <c r="D310" s="3" t="s">
        <v>19</v>
      </c>
      <c r="E310" s="3" t="s">
        <v>14</v>
      </c>
      <c r="F310" s="3" t="s">
        <v>15</v>
      </c>
      <c r="G310" s="4">
        <v>45235</v>
      </c>
      <c r="H310" s="5">
        <v>170</v>
      </c>
      <c r="I310" s="5">
        <v>341.67</v>
      </c>
      <c r="J310" s="5">
        <v>396.47</v>
      </c>
    </row>
    <row r="311" spans="1:10" ht="28.9" thickBot="1" x14ac:dyDescent="0.5">
      <c r="A311" s="3" t="s">
        <v>338</v>
      </c>
      <c r="B311" s="3" t="s">
        <v>48</v>
      </c>
      <c r="C311" s="3" t="s">
        <v>50</v>
      </c>
      <c r="D311" s="3" t="s">
        <v>42</v>
      </c>
      <c r="E311" s="3" t="s">
        <v>14</v>
      </c>
      <c r="F311" s="3" t="s">
        <v>15</v>
      </c>
      <c r="G311" s="4">
        <v>45236</v>
      </c>
      <c r="H311" s="5">
        <v>211</v>
      </c>
      <c r="I311" s="5">
        <v>119.26</v>
      </c>
      <c r="J311" s="5">
        <v>299.39</v>
      </c>
    </row>
    <row r="312" spans="1:10" ht="14.65" thickBot="1" x14ac:dyDescent="0.5">
      <c r="A312" s="3" t="s">
        <v>339</v>
      </c>
      <c r="B312" s="3" t="s">
        <v>17</v>
      </c>
      <c r="C312" s="3" t="s">
        <v>18</v>
      </c>
      <c r="D312" s="3" t="s">
        <v>27</v>
      </c>
      <c r="E312" s="3" t="s">
        <v>14</v>
      </c>
      <c r="F312" s="3" t="s">
        <v>28</v>
      </c>
      <c r="G312" s="4">
        <v>45237</v>
      </c>
      <c r="H312" s="5">
        <v>433</v>
      </c>
      <c r="I312" s="5">
        <v>231.15</v>
      </c>
      <c r="J312" s="5">
        <v>296.51</v>
      </c>
    </row>
    <row r="313" spans="1:10" ht="14.65" thickBot="1" x14ac:dyDescent="0.5">
      <c r="A313" s="3" t="s">
        <v>340</v>
      </c>
      <c r="B313" s="3" t="s">
        <v>11</v>
      </c>
      <c r="C313" s="3" t="s">
        <v>50</v>
      </c>
      <c r="D313" s="3" t="s">
        <v>13</v>
      </c>
      <c r="E313" s="3" t="s">
        <v>24</v>
      </c>
      <c r="F313" s="3" t="s">
        <v>20</v>
      </c>
      <c r="G313" s="4">
        <v>45238</v>
      </c>
      <c r="H313" s="5">
        <v>425</v>
      </c>
      <c r="I313" s="5">
        <v>99.21</v>
      </c>
      <c r="J313" s="5">
        <v>380.22</v>
      </c>
    </row>
    <row r="314" spans="1:10" ht="14.65" thickBot="1" x14ac:dyDescent="0.5">
      <c r="A314" s="3" t="s">
        <v>341</v>
      </c>
      <c r="B314" s="3" t="s">
        <v>17</v>
      </c>
      <c r="C314" s="3" t="s">
        <v>50</v>
      </c>
      <c r="D314" s="3" t="s">
        <v>23</v>
      </c>
      <c r="E314" s="3" t="s">
        <v>24</v>
      </c>
      <c r="F314" s="3" t="s">
        <v>28</v>
      </c>
      <c r="G314" s="4">
        <v>45239</v>
      </c>
      <c r="H314" s="5">
        <v>251</v>
      </c>
      <c r="I314" s="5">
        <v>30.91</v>
      </c>
      <c r="J314" s="5">
        <v>82.77</v>
      </c>
    </row>
    <row r="315" spans="1:10" ht="14.65" thickBot="1" x14ac:dyDescent="0.5">
      <c r="A315" s="3" t="s">
        <v>342</v>
      </c>
      <c r="B315" s="3" t="s">
        <v>11</v>
      </c>
      <c r="C315" s="3" t="s">
        <v>26</v>
      </c>
      <c r="D315" s="3" t="s">
        <v>19</v>
      </c>
      <c r="E315" s="3" t="s">
        <v>14</v>
      </c>
      <c r="F315" s="3" t="s">
        <v>15</v>
      </c>
      <c r="G315" s="4">
        <v>45240</v>
      </c>
      <c r="H315" s="3"/>
      <c r="I315" s="5">
        <v>192.35</v>
      </c>
      <c r="J315" s="5">
        <v>227.09</v>
      </c>
    </row>
    <row r="316" spans="1:10" ht="14.65" thickBot="1" x14ac:dyDescent="0.5">
      <c r="A316" s="3" t="s">
        <v>343</v>
      </c>
      <c r="B316" s="3" t="s">
        <v>11</v>
      </c>
      <c r="C316" s="3" t="s">
        <v>26</v>
      </c>
      <c r="D316" s="3" t="s">
        <v>13</v>
      </c>
      <c r="E316" s="3" t="s">
        <v>14</v>
      </c>
      <c r="F316" s="3" t="s">
        <v>15</v>
      </c>
      <c r="G316" s="4">
        <v>45241</v>
      </c>
      <c r="H316" s="5">
        <v>11</v>
      </c>
      <c r="I316" s="5">
        <v>184.66</v>
      </c>
      <c r="J316" s="5">
        <v>391.9</v>
      </c>
    </row>
    <row r="317" spans="1:10" ht="14.65" thickBot="1" x14ac:dyDescent="0.5">
      <c r="A317" s="3" t="s">
        <v>344</v>
      </c>
      <c r="B317" s="3" t="s">
        <v>17</v>
      </c>
      <c r="C317" s="3" t="s">
        <v>26</v>
      </c>
      <c r="D317" s="3" t="s">
        <v>23</v>
      </c>
      <c r="E317" s="3" t="s">
        <v>14</v>
      </c>
      <c r="F317" s="3" t="s">
        <v>28</v>
      </c>
      <c r="G317" s="4">
        <v>45242</v>
      </c>
      <c r="H317" s="5">
        <v>234</v>
      </c>
      <c r="I317" s="5">
        <v>497.76</v>
      </c>
      <c r="J317" s="5">
        <v>67.790000000000006</v>
      </c>
    </row>
    <row r="318" spans="1:10" ht="14.65" thickBot="1" x14ac:dyDescent="0.5">
      <c r="A318" s="3" t="s">
        <v>345</v>
      </c>
      <c r="B318" s="3" t="s">
        <v>11</v>
      </c>
      <c r="C318" s="3" t="s">
        <v>50</v>
      </c>
      <c r="D318" s="3" t="s">
        <v>23</v>
      </c>
      <c r="E318" s="3" t="s">
        <v>14</v>
      </c>
      <c r="F318" s="3" t="s">
        <v>20</v>
      </c>
      <c r="G318" s="4">
        <v>45243</v>
      </c>
      <c r="H318" s="3"/>
      <c r="I318" s="5">
        <v>225.94</v>
      </c>
      <c r="J318" s="5">
        <v>280.7</v>
      </c>
    </row>
    <row r="319" spans="1:10" ht="28.9" thickBot="1" x14ac:dyDescent="0.5">
      <c r="A319" s="3" t="s">
        <v>346</v>
      </c>
      <c r="B319" s="3" t="s">
        <v>22</v>
      </c>
      <c r="C319" s="3" t="s">
        <v>31</v>
      </c>
      <c r="D319" s="3" t="s">
        <v>42</v>
      </c>
      <c r="E319" s="3" t="s">
        <v>14</v>
      </c>
      <c r="F319" s="3" t="s">
        <v>20</v>
      </c>
      <c r="G319" s="4">
        <v>45244</v>
      </c>
      <c r="H319" s="5">
        <v>242</v>
      </c>
      <c r="I319" s="5">
        <v>170.12</v>
      </c>
      <c r="J319" s="5">
        <v>235.15</v>
      </c>
    </row>
    <row r="320" spans="1:10" ht="14.65" thickBot="1" x14ac:dyDescent="0.5">
      <c r="A320" s="3" t="s">
        <v>347</v>
      </c>
      <c r="B320" s="3" t="s">
        <v>11</v>
      </c>
      <c r="C320" s="3" t="s">
        <v>50</v>
      </c>
      <c r="D320" s="3" t="s">
        <v>27</v>
      </c>
      <c r="E320" s="3" t="s">
        <v>14</v>
      </c>
      <c r="F320" s="3" t="s">
        <v>15</v>
      </c>
      <c r="G320" s="4">
        <v>45245</v>
      </c>
      <c r="H320" s="5">
        <v>470</v>
      </c>
      <c r="I320" s="5">
        <v>292.33999999999997</v>
      </c>
      <c r="J320" s="5">
        <v>235.42</v>
      </c>
    </row>
    <row r="321" spans="1:10" ht="14.65" thickBot="1" x14ac:dyDescent="0.5">
      <c r="A321" s="3" t="s">
        <v>348</v>
      </c>
      <c r="B321" s="3" t="s">
        <v>48</v>
      </c>
      <c r="C321" s="3" t="s">
        <v>31</v>
      </c>
      <c r="D321" s="3" t="s">
        <v>27</v>
      </c>
      <c r="E321" s="3" t="s">
        <v>24</v>
      </c>
      <c r="F321" s="3" t="s">
        <v>15</v>
      </c>
      <c r="G321" s="4">
        <v>45246</v>
      </c>
      <c r="H321" s="5">
        <v>423</v>
      </c>
      <c r="I321" s="5">
        <v>48.94</v>
      </c>
      <c r="J321" s="5">
        <v>279.67</v>
      </c>
    </row>
    <row r="322" spans="1:10" ht="14.65" thickBot="1" x14ac:dyDescent="0.5">
      <c r="A322" s="3" t="s">
        <v>349</v>
      </c>
      <c r="B322" s="3" t="s">
        <v>17</v>
      </c>
      <c r="C322" s="3" t="s">
        <v>31</v>
      </c>
      <c r="D322" s="3" t="s">
        <v>13</v>
      </c>
      <c r="E322" s="3" t="s">
        <v>14</v>
      </c>
      <c r="F322" s="3" t="s">
        <v>20</v>
      </c>
      <c r="G322" s="4">
        <v>45247</v>
      </c>
      <c r="H322" s="5">
        <v>426</v>
      </c>
      <c r="I322" s="5">
        <v>481.02</v>
      </c>
      <c r="J322" s="5">
        <v>371.99</v>
      </c>
    </row>
    <row r="323" spans="1:10" ht="14.65" thickBot="1" x14ac:dyDescent="0.5">
      <c r="A323" s="3" t="s">
        <v>350</v>
      </c>
      <c r="B323" s="3" t="s">
        <v>22</v>
      </c>
      <c r="C323" s="3" t="s">
        <v>26</v>
      </c>
      <c r="D323" s="3" t="s">
        <v>27</v>
      </c>
      <c r="E323" s="3" t="s">
        <v>24</v>
      </c>
      <c r="F323" s="3" t="s">
        <v>28</v>
      </c>
      <c r="G323" s="4">
        <v>45248</v>
      </c>
      <c r="H323" s="5">
        <v>86</v>
      </c>
      <c r="I323" s="5">
        <v>319.31</v>
      </c>
      <c r="J323" s="5">
        <v>313.47000000000003</v>
      </c>
    </row>
    <row r="324" spans="1:10" ht="14.65" thickBot="1" x14ac:dyDescent="0.5">
      <c r="A324" s="3" t="s">
        <v>351</v>
      </c>
      <c r="B324" s="3" t="s">
        <v>17</v>
      </c>
      <c r="C324" s="3" t="s">
        <v>12</v>
      </c>
      <c r="D324" s="3" t="s">
        <v>19</v>
      </c>
      <c r="E324" s="3" t="s">
        <v>24</v>
      </c>
      <c r="F324" s="3" t="s">
        <v>15</v>
      </c>
      <c r="G324" s="4">
        <v>45249</v>
      </c>
      <c r="H324" s="5">
        <v>125</v>
      </c>
      <c r="I324" s="5">
        <v>378.64</v>
      </c>
      <c r="J324" s="5">
        <v>24.34</v>
      </c>
    </row>
    <row r="325" spans="1:10" ht="14.65" thickBot="1" x14ac:dyDescent="0.5">
      <c r="A325" s="3" t="s">
        <v>352</v>
      </c>
      <c r="B325" s="3" t="s">
        <v>48</v>
      </c>
      <c r="C325" s="3" t="s">
        <v>18</v>
      </c>
      <c r="D325" s="3"/>
      <c r="E325" s="3" t="s">
        <v>14</v>
      </c>
      <c r="F325" s="3" t="s">
        <v>15</v>
      </c>
      <c r="G325" s="4">
        <v>45250</v>
      </c>
      <c r="H325" s="5">
        <v>163</v>
      </c>
      <c r="I325" s="5">
        <v>89.39</v>
      </c>
      <c r="J325" s="5">
        <v>341.39</v>
      </c>
    </row>
    <row r="326" spans="1:10" ht="14.65" thickBot="1" x14ac:dyDescent="0.5">
      <c r="A326" s="3" t="s">
        <v>353</v>
      </c>
      <c r="B326" s="3" t="s">
        <v>48</v>
      </c>
      <c r="C326" s="3" t="s">
        <v>26</v>
      </c>
      <c r="D326" s="3" t="s">
        <v>13</v>
      </c>
      <c r="E326" s="3" t="s">
        <v>24</v>
      </c>
      <c r="F326" s="3" t="s">
        <v>20</v>
      </c>
      <c r="G326" s="4">
        <v>45251</v>
      </c>
      <c r="H326" s="5">
        <v>415</v>
      </c>
      <c r="I326" s="5">
        <v>207.69</v>
      </c>
      <c r="J326" s="5">
        <v>91.77</v>
      </c>
    </row>
    <row r="327" spans="1:10" ht="14.65" thickBot="1" x14ac:dyDescent="0.5">
      <c r="A327" s="3" t="s">
        <v>354</v>
      </c>
      <c r="B327" s="3" t="s">
        <v>48</v>
      </c>
      <c r="C327" s="3" t="s">
        <v>26</v>
      </c>
      <c r="D327" s="3" t="s">
        <v>27</v>
      </c>
      <c r="E327" s="3" t="s">
        <v>24</v>
      </c>
      <c r="F327" s="3" t="s">
        <v>28</v>
      </c>
      <c r="G327" s="4">
        <v>45252</v>
      </c>
      <c r="H327" s="5">
        <v>112</v>
      </c>
      <c r="I327" s="5">
        <v>214.23</v>
      </c>
      <c r="J327" s="5">
        <v>152.01</v>
      </c>
    </row>
    <row r="328" spans="1:10" ht="14.65" thickBot="1" x14ac:dyDescent="0.5">
      <c r="A328" s="3" t="s">
        <v>355</v>
      </c>
      <c r="B328" s="3" t="s">
        <v>11</v>
      </c>
      <c r="C328" s="3" t="s">
        <v>12</v>
      </c>
      <c r="D328" s="3" t="s">
        <v>19</v>
      </c>
      <c r="E328" s="3" t="s">
        <v>24</v>
      </c>
      <c r="F328" s="3" t="s">
        <v>20</v>
      </c>
      <c r="G328" s="4">
        <v>45253</v>
      </c>
      <c r="H328" s="5">
        <v>203</v>
      </c>
      <c r="I328" s="5">
        <v>411.79</v>
      </c>
      <c r="J328" s="5">
        <v>185.77</v>
      </c>
    </row>
    <row r="329" spans="1:10" ht="28.9" thickBot="1" x14ac:dyDescent="0.5">
      <c r="A329" s="3" t="s">
        <v>356</v>
      </c>
      <c r="B329" s="3" t="s">
        <v>11</v>
      </c>
      <c r="C329" s="3" t="s">
        <v>18</v>
      </c>
      <c r="D329" s="3" t="s">
        <v>42</v>
      </c>
      <c r="E329" s="3" t="s">
        <v>24</v>
      </c>
      <c r="F329" s="3" t="s">
        <v>28</v>
      </c>
      <c r="G329" s="4">
        <v>45254</v>
      </c>
      <c r="H329" s="3"/>
      <c r="I329" s="5">
        <v>5.61</v>
      </c>
      <c r="J329" s="5">
        <v>193.4</v>
      </c>
    </row>
    <row r="330" spans="1:10" ht="14.65" thickBot="1" x14ac:dyDescent="0.5">
      <c r="A330" s="3" t="s">
        <v>357</v>
      </c>
      <c r="B330" s="3" t="s">
        <v>17</v>
      </c>
      <c r="C330" s="3" t="s">
        <v>50</v>
      </c>
      <c r="D330" s="3" t="s">
        <v>13</v>
      </c>
      <c r="E330" s="3" t="s">
        <v>24</v>
      </c>
      <c r="F330" s="3" t="s">
        <v>28</v>
      </c>
      <c r="G330" s="4">
        <v>45255</v>
      </c>
      <c r="H330" s="5">
        <v>368</v>
      </c>
      <c r="I330" s="5">
        <v>153.91999999999999</v>
      </c>
      <c r="J330" s="5">
        <v>175.2</v>
      </c>
    </row>
    <row r="331" spans="1:10" ht="28.9" thickBot="1" x14ac:dyDescent="0.5">
      <c r="A331" s="3" t="s">
        <v>358</v>
      </c>
      <c r="B331" s="3" t="s">
        <v>17</v>
      </c>
      <c r="C331" s="3" t="s">
        <v>50</v>
      </c>
      <c r="D331" s="3" t="s">
        <v>42</v>
      </c>
      <c r="E331" s="3" t="s">
        <v>24</v>
      </c>
      <c r="F331" s="3" t="s">
        <v>28</v>
      </c>
      <c r="G331" s="4">
        <v>45256</v>
      </c>
      <c r="H331" s="5">
        <v>99</v>
      </c>
      <c r="I331" s="5">
        <v>490.71</v>
      </c>
      <c r="J331" s="5">
        <v>375.07</v>
      </c>
    </row>
    <row r="332" spans="1:10" ht="28.9" thickBot="1" x14ac:dyDescent="0.5">
      <c r="A332" s="3" t="s">
        <v>359</v>
      </c>
      <c r="B332" s="3" t="s">
        <v>22</v>
      </c>
      <c r="C332" s="3" t="s">
        <v>26</v>
      </c>
      <c r="D332" s="3" t="s">
        <v>42</v>
      </c>
      <c r="E332" s="3" t="s">
        <v>14</v>
      </c>
      <c r="F332" s="3" t="s">
        <v>15</v>
      </c>
      <c r="G332" s="4">
        <v>45257</v>
      </c>
      <c r="H332" s="5">
        <v>183</v>
      </c>
      <c r="I332" s="5">
        <v>240.07</v>
      </c>
      <c r="J332" s="5">
        <v>283</v>
      </c>
    </row>
    <row r="333" spans="1:10" ht="28.9" thickBot="1" x14ac:dyDescent="0.5">
      <c r="A333" s="3" t="s">
        <v>360</v>
      </c>
      <c r="B333" s="3"/>
      <c r="C333" s="3" t="s">
        <v>18</v>
      </c>
      <c r="D333" s="3" t="s">
        <v>42</v>
      </c>
      <c r="E333" s="3" t="s">
        <v>24</v>
      </c>
      <c r="F333" s="3" t="s">
        <v>20</v>
      </c>
      <c r="G333" s="4">
        <v>45258</v>
      </c>
      <c r="H333" s="5">
        <v>131</v>
      </c>
      <c r="I333" s="5">
        <v>194.35</v>
      </c>
      <c r="J333" s="5">
        <v>253.21</v>
      </c>
    </row>
    <row r="334" spans="1:10" ht="14.65" thickBot="1" x14ac:dyDescent="0.5">
      <c r="A334" s="3" t="s">
        <v>361</v>
      </c>
      <c r="B334" s="3" t="s">
        <v>17</v>
      </c>
      <c r="C334" s="3" t="s">
        <v>26</v>
      </c>
      <c r="D334" s="3" t="s">
        <v>23</v>
      </c>
      <c r="E334" s="3" t="s">
        <v>24</v>
      </c>
      <c r="F334" s="3" t="s">
        <v>20</v>
      </c>
      <c r="G334" s="4">
        <v>45259</v>
      </c>
      <c r="H334" s="5">
        <v>152</v>
      </c>
      <c r="I334" s="5">
        <v>64.319999999999993</v>
      </c>
      <c r="J334" s="5">
        <v>21.84</v>
      </c>
    </row>
    <row r="335" spans="1:10" ht="14.65" thickBot="1" x14ac:dyDescent="0.5">
      <c r="A335" s="3" t="s">
        <v>362</v>
      </c>
      <c r="B335" s="3" t="s">
        <v>11</v>
      </c>
      <c r="C335" s="3" t="s">
        <v>31</v>
      </c>
      <c r="D335" s="3" t="s">
        <v>23</v>
      </c>
      <c r="E335" s="3" t="s">
        <v>24</v>
      </c>
      <c r="F335" s="3" t="s">
        <v>28</v>
      </c>
      <c r="G335" s="4">
        <v>45260</v>
      </c>
      <c r="H335" s="5">
        <v>491</v>
      </c>
      <c r="I335" s="5">
        <v>487.21</v>
      </c>
      <c r="J335" s="5">
        <v>361.76</v>
      </c>
    </row>
    <row r="336" spans="1:10" ht="28.9" thickBot="1" x14ac:dyDescent="0.5">
      <c r="A336" s="3" t="s">
        <v>363</v>
      </c>
      <c r="B336" s="3" t="s">
        <v>48</v>
      </c>
      <c r="C336" s="3" t="s">
        <v>26</v>
      </c>
      <c r="D336" s="3" t="s">
        <v>42</v>
      </c>
      <c r="E336" s="3" t="s">
        <v>14</v>
      </c>
      <c r="F336" s="3" t="s">
        <v>15</v>
      </c>
      <c r="G336" s="4">
        <v>45261</v>
      </c>
      <c r="H336" s="5">
        <v>115</v>
      </c>
      <c r="I336" s="5">
        <v>14.91</v>
      </c>
      <c r="J336" s="5">
        <v>363.94</v>
      </c>
    </row>
    <row r="337" spans="1:10" ht="14.65" thickBot="1" x14ac:dyDescent="0.5">
      <c r="A337" s="3" t="s">
        <v>364</v>
      </c>
      <c r="B337" s="3" t="s">
        <v>17</v>
      </c>
      <c r="C337" s="3" t="s">
        <v>26</v>
      </c>
      <c r="D337" s="3" t="s">
        <v>13</v>
      </c>
      <c r="E337" s="3" t="s">
        <v>24</v>
      </c>
      <c r="F337" s="3" t="s">
        <v>15</v>
      </c>
      <c r="G337" s="4">
        <v>45262</v>
      </c>
      <c r="H337" s="5">
        <v>384</v>
      </c>
      <c r="I337" s="5">
        <v>369.9</v>
      </c>
      <c r="J337" s="5">
        <v>312.52</v>
      </c>
    </row>
    <row r="338" spans="1:10" ht="14.65" thickBot="1" x14ac:dyDescent="0.5">
      <c r="A338" s="3" t="s">
        <v>365</v>
      </c>
      <c r="B338" s="3" t="s">
        <v>22</v>
      </c>
      <c r="C338" s="3" t="s">
        <v>50</v>
      </c>
      <c r="D338" s="3" t="s">
        <v>19</v>
      </c>
      <c r="E338" s="3" t="s">
        <v>14</v>
      </c>
      <c r="F338" s="3" t="s">
        <v>20</v>
      </c>
      <c r="G338" s="4">
        <v>45263</v>
      </c>
      <c r="H338" s="5">
        <v>437</v>
      </c>
      <c r="I338" s="5">
        <v>385.46</v>
      </c>
      <c r="J338" s="5">
        <v>4.8</v>
      </c>
    </row>
    <row r="339" spans="1:10" ht="14.65" thickBot="1" x14ac:dyDescent="0.5">
      <c r="A339" s="3" t="s">
        <v>366</v>
      </c>
      <c r="B339" s="3" t="s">
        <v>11</v>
      </c>
      <c r="C339" s="3" t="s">
        <v>50</v>
      </c>
      <c r="D339" s="3" t="s">
        <v>19</v>
      </c>
      <c r="E339" s="3" t="s">
        <v>24</v>
      </c>
      <c r="F339" s="3" t="s">
        <v>15</v>
      </c>
      <c r="G339" s="4">
        <v>45264</v>
      </c>
      <c r="H339" s="5">
        <v>314</v>
      </c>
      <c r="I339" s="5">
        <v>125.61</v>
      </c>
      <c r="J339" s="5">
        <v>24.8</v>
      </c>
    </row>
    <row r="340" spans="1:10" ht="14.65" thickBot="1" x14ac:dyDescent="0.5">
      <c r="A340" s="3" t="s">
        <v>367</v>
      </c>
      <c r="B340" s="3" t="s">
        <v>17</v>
      </c>
      <c r="C340" s="3" t="s">
        <v>50</v>
      </c>
      <c r="D340" s="3" t="s">
        <v>27</v>
      </c>
      <c r="E340" s="3" t="s">
        <v>14</v>
      </c>
      <c r="F340" s="3" t="s">
        <v>15</v>
      </c>
      <c r="G340" s="4">
        <v>45265</v>
      </c>
      <c r="H340" s="5">
        <v>369</v>
      </c>
      <c r="I340" s="5">
        <v>337.42</v>
      </c>
      <c r="J340" s="5">
        <v>91.64</v>
      </c>
    </row>
    <row r="341" spans="1:10" ht="14.65" thickBot="1" x14ac:dyDescent="0.5">
      <c r="A341" s="3" t="s">
        <v>368</v>
      </c>
      <c r="B341" s="3" t="s">
        <v>17</v>
      </c>
      <c r="C341" s="3" t="s">
        <v>31</v>
      </c>
      <c r="D341" s="3" t="s">
        <v>13</v>
      </c>
      <c r="E341" s="3" t="s">
        <v>14</v>
      </c>
      <c r="F341" s="3" t="s">
        <v>28</v>
      </c>
      <c r="G341" s="4">
        <v>45266</v>
      </c>
      <c r="H341" s="5">
        <v>468</v>
      </c>
      <c r="I341" s="5">
        <v>51</v>
      </c>
      <c r="J341" s="5">
        <v>54.28</v>
      </c>
    </row>
    <row r="342" spans="1:10" ht="14.65" thickBot="1" x14ac:dyDescent="0.5">
      <c r="A342" s="3" t="s">
        <v>369</v>
      </c>
      <c r="B342" s="3" t="s">
        <v>11</v>
      </c>
      <c r="C342" s="3" t="s">
        <v>50</v>
      </c>
      <c r="D342" s="3" t="s">
        <v>23</v>
      </c>
      <c r="E342" s="3" t="s">
        <v>24</v>
      </c>
      <c r="F342" s="3" t="s">
        <v>15</v>
      </c>
      <c r="G342" s="4">
        <v>45267</v>
      </c>
      <c r="H342" s="5">
        <v>326</v>
      </c>
      <c r="I342" s="5">
        <v>132.24</v>
      </c>
      <c r="J342" s="5">
        <v>160.74</v>
      </c>
    </row>
    <row r="343" spans="1:10" ht="28.9" thickBot="1" x14ac:dyDescent="0.5">
      <c r="A343" s="3" t="s">
        <v>370</v>
      </c>
      <c r="B343" s="3" t="s">
        <v>17</v>
      </c>
      <c r="C343" s="3" t="s">
        <v>18</v>
      </c>
      <c r="D343" s="3" t="s">
        <v>42</v>
      </c>
      <c r="E343" s="3" t="s">
        <v>24</v>
      </c>
      <c r="F343" s="3" t="s">
        <v>28</v>
      </c>
      <c r="G343" s="4">
        <v>45268</v>
      </c>
      <c r="H343" s="5">
        <v>460</v>
      </c>
      <c r="I343" s="5">
        <v>395.01</v>
      </c>
      <c r="J343" s="5">
        <v>369.2</v>
      </c>
    </row>
    <row r="344" spans="1:10" ht="14.65" thickBot="1" x14ac:dyDescent="0.5">
      <c r="A344" s="3" t="s">
        <v>371</v>
      </c>
      <c r="B344" s="3" t="s">
        <v>11</v>
      </c>
      <c r="C344" s="3" t="s">
        <v>12</v>
      </c>
      <c r="D344" s="3" t="s">
        <v>27</v>
      </c>
      <c r="E344" s="3" t="s">
        <v>14</v>
      </c>
      <c r="F344" s="3" t="s">
        <v>20</v>
      </c>
      <c r="G344" s="4">
        <v>45269</v>
      </c>
      <c r="H344" s="5">
        <v>132</v>
      </c>
      <c r="I344" s="5">
        <v>433.02</v>
      </c>
      <c r="J344" s="5">
        <v>189.88</v>
      </c>
    </row>
    <row r="345" spans="1:10" ht="14.65" thickBot="1" x14ac:dyDescent="0.5">
      <c r="A345" s="3" t="s">
        <v>372</v>
      </c>
      <c r="B345" s="3" t="s">
        <v>48</v>
      </c>
      <c r="C345" s="3" t="s">
        <v>18</v>
      </c>
      <c r="D345" s="3" t="s">
        <v>19</v>
      </c>
      <c r="E345" s="3" t="s">
        <v>24</v>
      </c>
      <c r="F345" s="3" t="s">
        <v>15</v>
      </c>
      <c r="G345" s="4">
        <v>45270</v>
      </c>
      <c r="H345" s="5">
        <v>399</v>
      </c>
      <c r="I345" s="5">
        <v>306.2</v>
      </c>
      <c r="J345" s="5">
        <v>7.33</v>
      </c>
    </row>
    <row r="346" spans="1:10" ht="14.65" thickBot="1" x14ac:dyDescent="0.5">
      <c r="A346" s="3" t="s">
        <v>373</v>
      </c>
      <c r="B346" s="3" t="s">
        <v>11</v>
      </c>
      <c r="C346" s="3" t="s">
        <v>18</v>
      </c>
      <c r="D346" s="3" t="s">
        <v>23</v>
      </c>
      <c r="E346" s="3" t="s">
        <v>14</v>
      </c>
      <c r="F346" s="3" t="s">
        <v>20</v>
      </c>
      <c r="G346" s="4">
        <v>45271</v>
      </c>
      <c r="H346" s="5">
        <v>18</v>
      </c>
      <c r="I346" s="5">
        <v>255.89</v>
      </c>
      <c r="J346" s="5">
        <v>114.53</v>
      </c>
    </row>
    <row r="347" spans="1:10" ht="14.65" thickBot="1" x14ac:dyDescent="0.5">
      <c r="A347" s="3" t="s">
        <v>374</v>
      </c>
      <c r="B347" s="3" t="s">
        <v>11</v>
      </c>
      <c r="C347" s="3" t="s">
        <v>50</v>
      </c>
      <c r="D347" s="3" t="s">
        <v>23</v>
      </c>
      <c r="E347" s="3" t="s">
        <v>14</v>
      </c>
      <c r="F347" s="3" t="s">
        <v>20</v>
      </c>
      <c r="G347" s="4">
        <v>45272</v>
      </c>
      <c r="H347" s="5">
        <v>271</v>
      </c>
      <c r="I347" s="5">
        <v>83.86</v>
      </c>
      <c r="J347" s="5">
        <v>19.75</v>
      </c>
    </row>
    <row r="348" spans="1:10" ht="28.9" thickBot="1" x14ac:dyDescent="0.5">
      <c r="A348" s="3" t="s">
        <v>375</v>
      </c>
      <c r="B348" s="3"/>
      <c r="C348" s="3" t="s">
        <v>12</v>
      </c>
      <c r="D348" s="3" t="s">
        <v>42</v>
      </c>
      <c r="E348" s="3" t="s">
        <v>14</v>
      </c>
      <c r="F348" s="3" t="s">
        <v>15</v>
      </c>
      <c r="G348" s="4">
        <v>45273</v>
      </c>
      <c r="H348" s="5">
        <v>82</v>
      </c>
      <c r="I348" s="5">
        <v>36.24</v>
      </c>
      <c r="J348" s="5">
        <v>16.440000000000001</v>
      </c>
    </row>
    <row r="349" spans="1:10" ht="14.65" thickBot="1" x14ac:dyDescent="0.5">
      <c r="A349" s="3" t="s">
        <v>376</v>
      </c>
      <c r="B349" s="3" t="s">
        <v>17</v>
      </c>
      <c r="C349" s="3" t="s">
        <v>12</v>
      </c>
      <c r="D349" s="3" t="s">
        <v>19</v>
      </c>
      <c r="E349" s="3" t="s">
        <v>14</v>
      </c>
      <c r="F349" s="3" t="s">
        <v>15</v>
      </c>
      <c r="G349" s="4">
        <v>45274</v>
      </c>
      <c r="H349" s="5">
        <v>368</v>
      </c>
      <c r="I349" s="5">
        <v>63.24</v>
      </c>
      <c r="J349" s="5">
        <v>111.74</v>
      </c>
    </row>
    <row r="350" spans="1:10" ht="14.65" thickBot="1" x14ac:dyDescent="0.5">
      <c r="A350" s="3" t="s">
        <v>377</v>
      </c>
      <c r="B350" s="3" t="s">
        <v>17</v>
      </c>
      <c r="C350" s="3" t="s">
        <v>12</v>
      </c>
      <c r="D350" s="3" t="s">
        <v>13</v>
      </c>
      <c r="E350" s="3" t="s">
        <v>14</v>
      </c>
      <c r="F350" s="3" t="s">
        <v>20</v>
      </c>
      <c r="G350" s="4">
        <v>45275</v>
      </c>
      <c r="H350" s="5">
        <v>232</v>
      </c>
      <c r="I350" s="5">
        <v>117.54</v>
      </c>
      <c r="J350" s="5">
        <v>111.69</v>
      </c>
    </row>
    <row r="351" spans="1:10" ht="14.65" thickBot="1" x14ac:dyDescent="0.5">
      <c r="A351" s="3" t="s">
        <v>378</v>
      </c>
      <c r="B351" s="3" t="s">
        <v>11</v>
      </c>
      <c r="C351" s="3" t="s">
        <v>31</v>
      </c>
      <c r="D351" s="3" t="s">
        <v>23</v>
      </c>
      <c r="E351" s="3" t="s">
        <v>24</v>
      </c>
      <c r="F351" s="3" t="s">
        <v>15</v>
      </c>
      <c r="G351" s="4">
        <v>45276</v>
      </c>
      <c r="H351" s="5">
        <v>425</v>
      </c>
      <c r="I351" s="5">
        <v>174.13</v>
      </c>
      <c r="J351" s="5">
        <v>315.27999999999997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86DD3-61BB-4071-A346-F53C6250CCE6}">
  <dimension ref="A1:J3"/>
  <sheetViews>
    <sheetView workbookViewId="0">
      <selection activeCell="M27" sqref="M27"/>
    </sheetView>
  </sheetViews>
  <sheetFormatPr defaultRowHeight="14.25" x14ac:dyDescent="0.45"/>
  <sheetData>
    <row r="1" spans="1:10" ht="18" x14ac:dyDescent="0.55000000000000004">
      <c r="A1" s="19" t="s">
        <v>408</v>
      </c>
      <c r="B1" s="8"/>
      <c r="C1" s="8"/>
      <c r="D1" s="8"/>
      <c r="E1" s="8"/>
      <c r="F1" s="8"/>
      <c r="G1" s="8"/>
      <c r="H1" s="8"/>
      <c r="I1" s="8"/>
      <c r="J1" s="8"/>
    </row>
    <row r="3" spans="1:10" x14ac:dyDescent="0.45">
      <c r="A3" t="s">
        <v>380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6956D-9A2B-4419-B90D-A5DFC978D13D}">
  <dimension ref="A1:S351"/>
  <sheetViews>
    <sheetView workbookViewId="0">
      <selection activeCell="M11" sqref="M11"/>
    </sheetView>
  </sheetViews>
  <sheetFormatPr defaultRowHeight="14.25" x14ac:dyDescent="0.45"/>
  <cols>
    <col min="5" max="5" width="12.53125" bestFit="1" customWidth="1"/>
    <col min="6" max="6" width="12.33203125" bestFit="1" customWidth="1"/>
    <col min="7" max="7" width="18.1328125" bestFit="1" customWidth="1"/>
  </cols>
  <sheetData>
    <row r="1" spans="1:19" x14ac:dyDescent="0.45">
      <c r="A1" s="6" t="s">
        <v>0</v>
      </c>
      <c r="B1" s="6" t="s">
        <v>1</v>
      </c>
      <c r="C1" s="6" t="s">
        <v>2</v>
      </c>
      <c r="D1" s="6" t="s">
        <v>3</v>
      </c>
      <c r="E1" s="6" t="s">
        <v>4</v>
      </c>
      <c r="F1" s="6" t="s">
        <v>5</v>
      </c>
      <c r="G1" s="6" t="s">
        <v>6</v>
      </c>
      <c r="H1" s="6" t="s">
        <v>7</v>
      </c>
      <c r="I1" s="6" t="s">
        <v>8</v>
      </c>
      <c r="J1" s="6" t="s">
        <v>9</v>
      </c>
    </row>
    <row r="2" spans="1:19" ht="18" x14ac:dyDescent="0.55000000000000004">
      <c r="A2" t="s">
        <v>10</v>
      </c>
      <c r="B2" t="s">
        <v>11</v>
      </c>
      <c r="C2" t="s">
        <v>12</v>
      </c>
      <c r="D2" t="s">
        <v>13</v>
      </c>
      <c r="E2" t="s">
        <v>14</v>
      </c>
      <c r="F2" t="s">
        <v>15</v>
      </c>
      <c r="G2" s="7">
        <v>44927</v>
      </c>
      <c r="H2">
        <v>235</v>
      </c>
      <c r="I2">
        <v>152.91999999999999</v>
      </c>
      <c r="J2">
        <v>153.6</v>
      </c>
      <c r="L2" s="19" t="s">
        <v>379</v>
      </c>
      <c r="M2" s="8"/>
      <c r="N2" s="8"/>
      <c r="O2" s="8"/>
      <c r="P2" s="8"/>
      <c r="Q2" s="8"/>
      <c r="R2" s="8"/>
      <c r="S2" s="8"/>
    </row>
    <row r="3" spans="1:19" x14ac:dyDescent="0.45">
      <c r="A3" t="s">
        <v>16</v>
      </c>
      <c r="B3" t="s">
        <v>17</v>
      </c>
      <c r="C3" t="s">
        <v>18</v>
      </c>
      <c r="D3" t="s">
        <v>19</v>
      </c>
      <c r="E3" t="s">
        <v>14</v>
      </c>
      <c r="F3" t="s">
        <v>20</v>
      </c>
      <c r="G3" s="7">
        <v>44928</v>
      </c>
      <c r="H3">
        <v>341</v>
      </c>
      <c r="I3">
        <v>467.92</v>
      </c>
      <c r="J3">
        <v>139.84</v>
      </c>
      <c r="L3" t="s">
        <v>380</v>
      </c>
    </row>
    <row r="4" spans="1:19" x14ac:dyDescent="0.45">
      <c r="A4" t="s">
        <v>21</v>
      </c>
      <c r="B4" t="s">
        <v>22</v>
      </c>
      <c r="C4" t="s">
        <v>18</v>
      </c>
      <c r="D4" t="s">
        <v>23</v>
      </c>
      <c r="E4" t="s">
        <v>24</v>
      </c>
      <c r="F4" t="s">
        <v>15</v>
      </c>
      <c r="G4" s="7">
        <v>44929</v>
      </c>
      <c r="H4">
        <v>179</v>
      </c>
      <c r="I4">
        <v>473.94</v>
      </c>
      <c r="J4">
        <v>97.14</v>
      </c>
    </row>
    <row r="5" spans="1:19" x14ac:dyDescent="0.45">
      <c r="A5" t="s">
        <v>25</v>
      </c>
      <c r="B5" t="s">
        <v>11</v>
      </c>
      <c r="C5" t="s">
        <v>26</v>
      </c>
      <c r="D5" t="s">
        <v>27</v>
      </c>
      <c r="E5" t="s">
        <v>24</v>
      </c>
      <c r="F5" t="s">
        <v>28</v>
      </c>
      <c r="G5" s="7">
        <v>44930</v>
      </c>
      <c r="H5">
        <v>18</v>
      </c>
      <c r="I5">
        <v>314.52999999999997</v>
      </c>
      <c r="J5">
        <v>204.87</v>
      </c>
      <c r="L5" t="s">
        <v>1</v>
      </c>
      <c r="M5">
        <f>COUNTBLANK(B2:B351)</f>
        <v>0</v>
      </c>
    </row>
    <row r="6" spans="1:19" x14ac:dyDescent="0.45">
      <c r="A6" t="s">
        <v>29</v>
      </c>
      <c r="B6" t="s">
        <v>11</v>
      </c>
      <c r="C6" t="s">
        <v>18</v>
      </c>
      <c r="D6" t="s">
        <v>27</v>
      </c>
      <c r="E6" t="s">
        <v>24</v>
      </c>
      <c r="F6" t="s">
        <v>28</v>
      </c>
      <c r="G6" s="7">
        <v>44931</v>
      </c>
      <c r="H6">
        <v>472</v>
      </c>
      <c r="I6">
        <v>392.79</v>
      </c>
      <c r="J6">
        <v>330.46</v>
      </c>
      <c r="L6" t="s">
        <v>3</v>
      </c>
      <c r="M6">
        <f>COUNTBLANK(D2:D351)</f>
        <v>0</v>
      </c>
    </row>
    <row r="7" spans="1:19" x14ac:dyDescent="0.45">
      <c r="A7" t="s">
        <v>30</v>
      </c>
      <c r="B7" t="s">
        <v>17</v>
      </c>
      <c r="C7" t="s">
        <v>31</v>
      </c>
      <c r="D7" t="s">
        <v>23</v>
      </c>
      <c r="E7" t="s">
        <v>14</v>
      </c>
      <c r="F7" t="s">
        <v>15</v>
      </c>
      <c r="G7" s="7">
        <v>44932</v>
      </c>
      <c r="H7">
        <v>49</v>
      </c>
      <c r="I7">
        <v>308.07</v>
      </c>
      <c r="J7">
        <v>113.32</v>
      </c>
    </row>
    <row r="8" spans="1:19" x14ac:dyDescent="0.45">
      <c r="A8" t="s">
        <v>32</v>
      </c>
      <c r="B8" t="s">
        <v>22</v>
      </c>
      <c r="C8" t="s">
        <v>12</v>
      </c>
      <c r="D8" t="s">
        <v>23</v>
      </c>
      <c r="E8" t="s">
        <v>14</v>
      </c>
      <c r="F8" t="s">
        <v>20</v>
      </c>
      <c r="G8" s="7">
        <v>44933</v>
      </c>
      <c r="H8">
        <v>34</v>
      </c>
      <c r="I8">
        <v>244.78</v>
      </c>
      <c r="J8">
        <v>377.07</v>
      </c>
    </row>
    <row r="9" spans="1:19" x14ac:dyDescent="0.45">
      <c r="A9" t="s">
        <v>33</v>
      </c>
      <c r="B9" t="s">
        <v>22</v>
      </c>
      <c r="C9" t="s">
        <v>18</v>
      </c>
      <c r="D9" t="s">
        <v>13</v>
      </c>
      <c r="E9" t="s">
        <v>14</v>
      </c>
      <c r="F9" t="s">
        <v>15</v>
      </c>
      <c r="G9" s="7">
        <v>44934</v>
      </c>
      <c r="H9">
        <v>270</v>
      </c>
      <c r="I9">
        <v>332.11</v>
      </c>
      <c r="J9">
        <v>349.59</v>
      </c>
    </row>
    <row r="10" spans="1:19" x14ac:dyDescent="0.45">
      <c r="A10" t="s">
        <v>34</v>
      </c>
      <c r="B10" t="s">
        <v>11</v>
      </c>
      <c r="C10" t="s">
        <v>18</v>
      </c>
      <c r="D10" t="s">
        <v>13</v>
      </c>
      <c r="E10" t="s">
        <v>14</v>
      </c>
      <c r="F10" t="s">
        <v>20</v>
      </c>
      <c r="G10" s="7">
        <v>44935</v>
      </c>
      <c r="H10">
        <v>404</v>
      </c>
      <c r="I10">
        <v>278.74</v>
      </c>
      <c r="J10">
        <v>66.38</v>
      </c>
    </row>
    <row r="11" spans="1:19" x14ac:dyDescent="0.45">
      <c r="A11" t="s">
        <v>35</v>
      </c>
      <c r="B11" t="s">
        <v>17</v>
      </c>
      <c r="C11" t="s">
        <v>26</v>
      </c>
      <c r="D11" t="s">
        <v>27</v>
      </c>
      <c r="E11" t="s">
        <v>14</v>
      </c>
      <c r="F11" t="s">
        <v>28</v>
      </c>
      <c r="G11" s="7">
        <v>44936</v>
      </c>
      <c r="H11">
        <v>452</v>
      </c>
      <c r="I11">
        <v>300.75</v>
      </c>
      <c r="J11">
        <v>314.94</v>
      </c>
    </row>
    <row r="12" spans="1:19" x14ac:dyDescent="0.45">
      <c r="A12" t="s">
        <v>36</v>
      </c>
      <c r="B12" t="s">
        <v>11</v>
      </c>
      <c r="C12" t="s">
        <v>26</v>
      </c>
      <c r="D12" t="s">
        <v>19</v>
      </c>
      <c r="E12" t="s">
        <v>14</v>
      </c>
      <c r="F12" t="s">
        <v>20</v>
      </c>
      <c r="G12" s="7">
        <v>44937</v>
      </c>
      <c r="H12">
        <v>235</v>
      </c>
      <c r="I12">
        <v>393</v>
      </c>
      <c r="J12">
        <v>230.69</v>
      </c>
    </row>
    <row r="13" spans="1:19" x14ac:dyDescent="0.45">
      <c r="A13" t="s">
        <v>37</v>
      </c>
      <c r="B13" t="s">
        <v>11</v>
      </c>
      <c r="C13" t="s">
        <v>31</v>
      </c>
      <c r="D13" t="s">
        <v>27</v>
      </c>
      <c r="E13" t="s">
        <v>24</v>
      </c>
      <c r="F13" t="s">
        <v>28</v>
      </c>
      <c r="G13" s="7">
        <v>44938</v>
      </c>
      <c r="H13">
        <v>481</v>
      </c>
      <c r="I13">
        <v>243.05</v>
      </c>
      <c r="J13">
        <v>227.5</v>
      </c>
    </row>
    <row r="14" spans="1:19" x14ac:dyDescent="0.45">
      <c r="A14" t="s">
        <v>38</v>
      </c>
      <c r="B14" t="s">
        <v>11</v>
      </c>
      <c r="C14" t="s">
        <v>12</v>
      </c>
      <c r="D14" t="s">
        <v>19</v>
      </c>
      <c r="E14" t="s">
        <v>24</v>
      </c>
      <c r="F14" t="s">
        <v>20</v>
      </c>
      <c r="G14" s="7">
        <v>44939</v>
      </c>
      <c r="H14">
        <v>133</v>
      </c>
      <c r="I14">
        <v>25.17</v>
      </c>
      <c r="J14">
        <v>157.63999999999999</v>
      </c>
    </row>
    <row r="15" spans="1:19" x14ac:dyDescent="0.45">
      <c r="A15" t="s">
        <v>39</v>
      </c>
      <c r="B15" t="s">
        <v>11</v>
      </c>
      <c r="C15" t="s">
        <v>26</v>
      </c>
      <c r="D15" t="s">
        <v>19</v>
      </c>
      <c r="E15" t="s">
        <v>24</v>
      </c>
      <c r="F15" t="s">
        <v>20</v>
      </c>
      <c r="G15" s="7">
        <v>44940</v>
      </c>
      <c r="H15">
        <v>472</v>
      </c>
      <c r="I15">
        <v>86.18</v>
      </c>
      <c r="J15">
        <v>201.46</v>
      </c>
    </row>
    <row r="16" spans="1:19" x14ac:dyDescent="0.45">
      <c r="A16" t="s">
        <v>40</v>
      </c>
      <c r="B16" t="s">
        <v>17</v>
      </c>
      <c r="C16" t="s">
        <v>18</v>
      </c>
      <c r="D16" t="s">
        <v>13</v>
      </c>
      <c r="E16" t="s">
        <v>24</v>
      </c>
      <c r="F16" t="s">
        <v>20</v>
      </c>
      <c r="G16" s="7">
        <v>44941</v>
      </c>
      <c r="H16">
        <v>47</v>
      </c>
      <c r="I16">
        <v>222.11</v>
      </c>
      <c r="J16">
        <v>160.08000000000001</v>
      </c>
    </row>
    <row r="17" spans="1:10" x14ac:dyDescent="0.45">
      <c r="A17" t="s">
        <v>41</v>
      </c>
      <c r="B17" t="s">
        <v>22</v>
      </c>
      <c r="C17" t="s">
        <v>12</v>
      </c>
      <c r="D17" t="s">
        <v>42</v>
      </c>
      <c r="E17" t="s">
        <v>14</v>
      </c>
      <c r="F17" t="s">
        <v>15</v>
      </c>
      <c r="G17" s="7">
        <v>44942</v>
      </c>
      <c r="H17">
        <v>337</v>
      </c>
      <c r="I17">
        <v>363.79</v>
      </c>
      <c r="J17">
        <v>216.81</v>
      </c>
    </row>
    <row r="18" spans="1:10" x14ac:dyDescent="0.45">
      <c r="A18" t="s">
        <v>43</v>
      </c>
      <c r="B18" t="s">
        <v>17</v>
      </c>
      <c r="C18" t="s">
        <v>12</v>
      </c>
      <c r="D18" t="s">
        <v>42</v>
      </c>
      <c r="E18" t="s">
        <v>14</v>
      </c>
      <c r="F18" t="s">
        <v>15</v>
      </c>
      <c r="G18" s="7">
        <v>44943</v>
      </c>
      <c r="H18">
        <v>260</v>
      </c>
      <c r="I18">
        <v>298.67</v>
      </c>
      <c r="J18">
        <v>251.92</v>
      </c>
    </row>
    <row r="19" spans="1:10" x14ac:dyDescent="0.45">
      <c r="A19" t="s">
        <v>44</v>
      </c>
      <c r="B19" t="s">
        <v>17</v>
      </c>
      <c r="C19" t="s">
        <v>18</v>
      </c>
      <c r="D19" t="s">
        <v>23</v>
      </c>
      <c r="E19" t="s">
        <v>24</v>
      </c>
      <c r="F19" t="s">
        <v>28</v>
      </c>
      <c r="G19" s="7">
        <v>44944</v>
      </c>
      <c r="H19">
        <v>398</v>
      </c>
      <c r="I19">
        <v>326.89999999999998</v>
      </c>
      <c r="J19">
        <v>270.37</v>
      </c>
    </row>
    <row r="20" spans="1:10" x14ac:dyDescent="0.45">
      <c r="A20" t="s">
        <v>45</v>
      </c>
      <c r="B20" t="s">
        <v>17</v>
      </c>
      <c r="C20" t="s">
        <v>26</v>
      </c>
      <c r="D20" t="s">
        <v>13</v>
      </c>
      <c r="E20" t="s">
        <v>14</v>
      </c>
      <c r="F20" t="s">
        <v>28</v>
      </c>
      <c r="G20" s="7">
        <v>44945</v>
      </c>
      <c r="H20">
        <v>185</v>
      </c>
      <c r="I20">
        <v>242.24</v>
      </c>
      <c r="J20">
        <v>213.93</v>
      </c>
    </row>
    <row r="21" spans="1:10" x14ac:dyDescent="0.45">
      <c r="A21" t="s">
        <v>46</v>
      </c>
      <c r="B21" t="s">
        <v>11</v>
      </c>
      <c r="C21" t="s">
        <v>18</v>
      </c>
      <c r="D21" t="s">
        <v>19</v>
      </c>
      <c r="E21" t="s">
        <v>24</v>
      </c>
      <c r="F21" t="s">
        <v>15</v>
      </c>
      <c r="G21" s="7">
        <v>44946</v>
      </c>
      <c r="H21">
        <v>99</v>
      </c>
      <c r="I21">
        <v>309.79000000000002</v>
      </c>
      <c r="J21">
        <v>289.13</v>
      </c>
    </row>
    <row r="22" spans="1:10" x14ac:dyDescent="0.45">
      <c r="A22" t="s">
        <v>47</v>
      </c>
      <c r="B22" t="s">
        <v>48</v>
      </c>
      <c r="C22" t="s">
        <v>12</v>
      </c>
      <c r="D22" t="s">
        <v>42</v>
      </c>
      <c r="E22" t="s">
        <v>24</v>
      </c>
      <c r="F22" t="s">
        <v>28</v>
      </c>
      <c r="G22" s="7">
        <v>44947</v>
      </c>
      <c r="H22">
        <v>411</v>
      </c>
      <c r="I22">
        <v>167.86</v>
      </c>
      <c r="J22">
        <v>58.23</v>
      </c>
    </row>
    <row r="23" spans="1:10" x14ac:dyDescent="0.45">
      <c r="A23" t="s">
        <v>49</v>
      </c>
      <c r="B23" t="s">
        <v>22</v>
      </c>
      <c r="C23" t="s">
        <v>50</v>
      </c>
      <c r="D23" t="s">
        <v>19</v>
      </c>
      <c r="E23" t="s">
        <v>24</v>
      </c>
      <c r="F23" t="s">
        <v>15</v>
      </c>
      <c r="G23" s="7">
        <v>44948</v>
      </c>
      <c r="H23">
        <v>463</v>
      </c>
      <c r="I23">
        <v>237.74</v>
      </c>
      <c r="J23">
        <v>86.37</v>
      </c>
    </row>
    <row r="24" spans="1:10" x14ac:dyDescent="0.45">
      <c r="A24" t="s">
        <v>51</v>
      </c>
      <c r="B24" t="s">
        <v>48</v>
      </c>
      <c r="C24" t="s">
        <v>50</v>
      </c>
      <c r="D24" t="s">
        <v>42</v>
      </c>
      <c r="E24" t="s">
        <v>14</v>
      </c>
      <c r="F24" t="s">
        <v>20</v>
      </c>
      <c r="G24" s="7">
        <v>44949</v>
      </c>
      <c r="H24">
        <v>46</v>
      </c>
      <c r="I24">
        <v>373.42</v>
      </c>
      <c r="J24">
        <v>327.86</v>
      </c>
    </row>
    <row r="25" spans="1:10" x14ac:dyDescent="0.45">
      <c r="A25" t="s">
        <v>52</v>
      </c>
      <c r="B25" t="s">
        <v>17</v>
      </c>
      <c r="C25" t="s">
        <v>31</v>
      </c>
      <c r="D25" t="s">
        <v>42</v>
      </c>
      <c r="E25" t="s">
        <v>24</v>
      </c>
      <c r="F25" t="s">
        <v>28</v>
      </c>
      <c r="G25" s="7">
        <v>44950</v>
      </c>
      <c r="H25">
        <v>325</v>
      </c>
      <c r="I25">
        <v>436.56</v>
      </c>
      <c r="J25">
        <v>130.37</v>
      </c>
    </row>
    <row r="26" spans="1:10" x14ac:dyDescent="0.45">
      <c r="A26" t="s">
        <v>53</v>
      </c>
      <c r="B26" t="s">
        <v>17</v>
      </c>
      <c r="C26" t="s">
        <v>18</v>
      </c>
      <c r="D26" t="s">
        <v>13</v>
      </c>
      <c r="E26" t="s">
        <v>24</v>
      </c>
      <c r="F26" t="s">
        <v>28</v>
      </c>
      <c r="G26" s="7">
        <v>44951</v>
      </c>
      <c r="H26">
        <v>185</v>
      </c>
      <c r="I26">
        <v>219.66</v>
      </c>
      <c r="J26">
        <v>11.11</v>
      </c>
    </row>
    <row r="27" spans="1:10" x14ac:dyDescent="0.45">
      <c r="A27" t="s">
        <v>54</v>
      </c>
      <c r="B27" t="s">
        <v>48</v>
      </c>
      <c r="C27" t="s">
        <v>18</v>
      </c>
      <c r="D27" t="s">
        <v>13</v>
      </c>
      <c r="E27" t="s">
        <v>24</v>
      </c>
      <c r="F27" t="s">
        <v>15</v>
      </c>
      <c r="G27" s="7">
        <v>44952</v>
      </c>
      <c r="H27">
        <v>470</v>
      </c>
      <c r="I27">
        <v>26.61</v>
      </c>
      <c r="J27">
        <v>63.21</v>
      </c>
    </row>
    <row r="28" spans="1:10" x14ac:dyDescent="0.45">
      <c r="A28" t="s">
        <v>55</v>
      </c>
      <c r="B28" t="s">
        <v>48</v>
      </c>
      <c r="C28" t="s">
        <v>31</v>
      </c>
      <c r="D28" t="s">
        <v>27</v>
      </c>
      <c r="E28" t="s">
        <v>14</v>
      </c>
      <c r="F28" t="s">
        <v>28</v>
      </c>
      <c r="G28" s="7">
        <v>44953</v>
      </c>
      <c r="H28">
        <v>293</v>
      </c>
      <c r="I28">
        <v>85.03</v>
      </c>
      <c r="J28">
        <v>91</v>
      </c>
    </row>
    <row r="29" spans="1:10" x14ac:dyDescent="0.45">
      <c r="A29" t="s">
        <v>56</v>
      </c>
      <c r="B29" t="s">
        <v>48</v>
      </c>
      <c r="C29" t="s">
        <v>31</v>
      </c>
      <c r="D29" t="s">
        <v>19</v>
      </c>
      <c r="E29" t="s">
        <v>14</v>
      </c>
      <c r="F29" t="s">
        <v>28</v>
      </c>
      <c r="G29" s="7">
        <v>44954</v>
      </c>
      <c r="H29">
        <v>462</v>
      </c>
      <c r="J29">
        <v>383.01</v>
      </c>
    </row>
    <row r="30" spans="1:10" x14ac:dyDescent="0.45">
      <c r="A30" t="s">
        <v>57</v>
      </c>
      <c r="B30" t="s">
        <v>17</v>
      </c>
      <c r="C30" t="s">
        <v>31</v>
      </c>
      <c r="D30" t="s">
        <v>13</v>
      </c>
      <c r="E30" t="s">
        <v>24</v>
      </c>
      <c r="F30" t="s">
        <v>20</v>
      </c>
      <c r="G30" s="7">
        <v>44955</v>
      </c>
      <c r="H30">
        <v>470</v>
      </c>
      <c r="I30">
        <v>328.37</v>
      </c>
      <c r="J30">
        <v>230.07</v>
      </c>
    </row>
    <row r="31" spans="1:10" x14ac:dyDescent="0.45">
      <c r="A31" t="s">
        <v>58</v>
      </c>
      <c r="B31" t="s">
        <v>17</v>
      </c>
      <c r="C31" t="s">
        <v>12</v>
      </c>
      <c r="D31" t="s">
        <v>13</v>
      </c>
      <c r="E31" t="s">
        <v>14</v>
      </c>
      <c r="F31" t="s">
        <v>28</v>
      </c>
      <c r="G31" s="7">
        <v>44956</v>
      </c>
      <c r="H31">
        <v>90</v>
      </c>
      <c r="I31">
        <v>169.5</v>
      </c>
      <c r="J31">
        <v>373.23</v>
      </c>
    </row>
    <row r="32" spans="1:10" x14ac:dyDescent="0.45">
      <c r="A32" t="s">
        <v>59</v>
      </c>
      <c r="B32" t="s">
        <v>17</v>
      </c>
      <c r="C32" t="s">
        <v>18</v>
      </c>
      <c r="D32" t="s">
        <v>13</v>
      </c>
      <c r="E32" t="s">
        <v>14</v>
      </c>
      <c r="F32" t="s">
        <v>20</v>
      </c>
      <c r="G32" s="7">
        <v>44957</v>
      </c>
      <c r="H32">
        <v>123</v>
      </c>
      <c r="I32">
        <v>273.52999999999997</v>
      </c>
      <c r="J32">
        <v>230.92</v>
      </c>
    </row>
    <row r="33" spans="1:10" x14ac:dyDescent="0.45">
      <c r="A33" t="s">
        <v>60</v>
      </c>
      <c r="B33" t="s">
        <v>22</v>
      </c>
      <c r="C33" t="s">
        <v>12</v>
      </c>
      <c r="D33" t="s">
        <v>13</v>
      </c>
      <c r="E33" t="s">
        <v>14</v>
      </c>
      <c r="F33" t="s">
        <v>15</v>
      </c>
      <c r="G33" s="7">
        <v>44958</v>
      </c>
      <c r="H33">
        <v>49</v>
      </c>
      <c r="I33">
        <v>249.17</v>
      </c>
      <c r="J33">
        <v>192.78</v>
      </c>
    </row>
    <row r="34" spans="1:10" x14ac:dyDescent="0.45">
      <c r="A34" t="s">
        <v>61</v>
      </c>
      <c r="B34" t="s">
        <v>17</v>
      </c>
      <c r="C34" t="s">
        <v>31</v>
      </c>
      <c r="D34" t="s">
        <v>13</v>
      </c>
      <c r="E34" t="s">
        <v>14</v>
      </c>
      <c r="F34" t="s">
        <v>28</v>
      </c>
      <c r="G34" s="7">
        <v>44959</v>
      </c>
      <c r="H34">
        <v>310</v>
      </c>
      <c r="I34">
        <v>45.36</v>
      </c>
      <c r="J34">
        <v>126.86</v>
      </c>
    </row>
    <row r="35" spans="1:10" x14ac:dyDescent="0.45">
      <c r="A35" t="s">
        <v>62</v>
      </c>
      <c r="B35" t="s">
        <v>48</v>
      </c>
      <c r="C35" t="s">
        <v>18</v>
      </c>
      <c r="D35" t="s">
        <v>23</v>
      </c>
      <c r="E35" t="s">
        <v>14</v>
      </c>
      <c r="F35" t="s">
        <v>20</v>
      </c>
      <c r="G35" s="7">
        <v>44960</v>
      </c>
      <c r="H35">
        <v>233</v>
      </c>
      <c r="I35">
        <v>204.61</v>
      </c>
      <c r="J35">
        <v>243.34</v>
      </c>
    </row>
    <row r="36" spans="1:10" x14ac:dyDescent="0.45">
      <c r="A36" t="s">
        <v>63</v>
      </c>
      <c r="B36" t="s">
        <v>48</v>
      </c>
      <c r="C36" t="s">
        <v>12</v>
      </c>
      <c r="D36" t="s">
        <v>19</v>
      </c>
      <c r="E36" t="s">
        <v>14</v>
      </c>
      <c r="F36" t="s">
        <v>15</v>
      </c>
      <c r="G36" s="7">
        <v>44961</v>
      </c>
      <c r="H36">
        <v>327</v>
      </c>
      <c r="I36">
        <v>114.18</v>
      </c>
      <c r="J36">
        <v>57.4</v>
      </c>
    </row>
    <row r="37" spans="1:10" x14ac:dyDescent="0.45">
      <c r="A37" t="s">
        <v>64</v>
      </c>
      <c r="B37" t="s">
        <v>22</v>
      </c>
      <c r="C37" t="s">
        <v>12</v>
      </c>
      <c r="D37" t="s">
        <v>13</v>
      </c>
      <c r="E37" t="s">
        <v>14</v>
      </c>
      <c r="F37" t="s">
        <v>28</v>
      </c>
      <c r="G37" s="7">
        <v>44962</v>
      </c>
      <c r="H37">
        <v>358</v>
      </c>
      <c r="I37">
        <v>212.11</v>
      </c>
      <c r="J37">
        <v>359.51</v>
      </c>
    </row>
    <row r="38" spans="1:10" x14ac:dyDescent="0.45">
      <c r="A38" t="s">
        <v>65</v>
      </c>
      <c r="B38" t="s">
        <v>17</v>
      </c>
      <c r="C38" t="s">
        <v>31</v>
      </c>
      <c r="D38" t="s">
        <v>19</v>
      </c>
      <c r="E38" t="s">
        <v>14</v>
      </c>
      <c r="F38" t="s">
        <v>15</v>
      </c>
      <c r="G38" s="7">
        <v>44963</v>
      </c>
      <c r="H38">
        <v>124</v>
      </c>
      <c r="J38">
        <v>332.07</v>
      </c>
    </row>
    <row r="39" spans="1:10" x14ac:dyDescent="0.45">
      <c r="A39" t="s">
        <v>66</v>
      </c>
      <c r="B39" t="s">
        <v>22</v>
      </c>
      <c r="C39" t="s">
        <v>18</v>
      </c>
      <c r="D39" t="s">
        <v>23</v>
      </c>
      <c r="E39" t="s">
        <v>14</v>
      </c>
      <c r="F39" t="s">
        <v>28</v>
      </c>
      <c r="G39" s="7">
        <v>44964</v>
      </c>
      <c r="H39">
        <v>195</v>
      </c>
      <c r="I39">
        <v>421.02</v>
      </c>
      <c r="J39">
        <v>128.38</v>
      </c>
    </row>
    <row r="40" spans="1:10" x14ac:dyDescent="0.45">
      <c r="A40" t="s">
        <v>67</v>
      </c>
      <c r="B40" t="s">
        <v>22</v>
      </c>
      <c r="C40" t="s">
        <v>31</v>
      </c>
      <c r="D40" t="s">
        <v>23</v>
      </c>
      <c r="E40" t="s">
        <v>14</v>
      </c>
      <c r="F40" t="s">
        <v>15</v>
      </c>
      <c r="G40" s="7">
        <v>44965</v>
      </c>
      <c r="I40">
        <v>91.23</v>
      </c>
      <c r="J40">
        <v>381.21</v>
      </c>
    </row>
    <row r="41" spans="1:10" x14ac:dyDescent="0.45">
      <c r="A41" t="s">
        <v>68</v>
      </c>
      <c r="B41" t="s">
        <v>11</v>
      </c>
      <c r="C41" t="s">
        <v>18</v>
      </c>
      <c r="D41" t="s">
        <v>19</v>
      </c>
      <c r="E41" t="s">
        <v>24</v>
      </c>
      <c r="F41" t="s">
        <v>15</v>
      </c>
      <c r="G41" s="7">
        <v>44966</v>
      </c>
      <c r="H41">
        <v>65</v>
      </c>
      <c r="I41">
        <v>480.59</v>
      </c>
      <c r="J41">
        <v>330.43</v>
      </c>
    </row>
    <row r="42" spans="1:10" x14ac:dyDescent="0.45">
      <c r="A42" t="s">
        <v>69</v>
      </c>
      <c r="B42" t="s">
        <v>11</v>
      </c>
      <c r="C42" t="s">
        <v>50</v>
      </c>
      <c r="D42" t="s">
        <v>42</v>
      </c>
      <c r="E42" t="s">
        <v>24</v>
      </c>
      <c r="F42" t="s">
        <v>20</v>
      </c>
      <c r="G42" s="7">
        <v>44967</v>
      </c>
      <c r="H42">
        <v>49</v>
      </c>
      <c r="I42">
        <v>210.87</v>
      </c>
      <c r="J42">
        <v>267.19</v>
      </c>
    </row>
    <row r="43" spans="1:10" x14ac:dyDescent="0.45">
      <c r="A43" t="s">
        <v>70</v>
      </c>
      <c r="B43" t="s">
        <v>11</v>
      </c>
      <c r="C43" t="s">
        <v>26</v>
      </c>
      <c r="D43" t="s">
        <v>27</v>
      </c>
      <c r="E43" t="s">
        <v>14</v>
      </c>
      <c r="F43" t="s">
        <v>15</v>
      </c>
      <c r="G43" s="7">
        <v>44968</v>
      </c>
      <c r="H43">
        <v>363</v>
      </c>
      <c r="I43">
        <v>423.89</v>
      </c>
      <c r="J43">
        <v>50.46</v>
      </c>
    </row>
    <row r="44" spans="1:10" x14ac:dyDescent="0.45">
      <c r="A44" t="s">
        <v>71</v>
      </c>
      <c r="B44" t="s">
        <v>48</v>
      </c>
      <c r="C44" t="s">
        <v>26</v>
      </c>
      <c r="D44" t="s">
        <v>42</v>
      </c>
      <c r="E44" t="s">
        <v>24</v>
      </c>
      <c r="F44" t="s">
        <v>28</v>
      </c>
      <c r="G44" s="7">
        <v>44969</v>
      </c>
      <c r="H44">
        <v>49</v>
      </c>
      <c r="I44">
        <v>316.24</v>
      </c>
      <c r="J44">
        <v>192.34</v>
      </c>
    </row>
    <row r="45" spans="1:10" x14ac:dyDescent="0.45">
      <c r="A45" t="s">
        <v>72</v>
      </c>
      <c r="B45" t="s">
        <v>17</v>
      </c>
      <c r="C45" t="s">
        <v>26</v>
      </c>
      <c r="D45" t="s">
        <v>42</v>
      </c>
      <c r="E45" t="s">
        <v>24</v>
      </c>
      <c r="F45" t="s">
        <v>28</v>
      </c>
      <c r="G45" s="7">
        <v>44970</v>
      </c>
      <c r="H45">
        <v>356</v>
      </c>
      <c r="I45">
        <v>369</v>
      </c>
      <c r="J45">
        <v>203.43</v>
      </c>
    </row>
    <row r="46" spans="1:10" x14ac:dyDescent="0.45">
      <c r="A46" t="s">
        <v>73</v>
      </c>
      <c r="B46" t="s">
        <v>17</v>
      </c>
      <c r="C46" t="s">
        <v>31</v>
      </c>
      <c r="D46" t="s">
        <v>42</v>
      </c>
      <c r="E46" t="s">
        <v>14</v>
      </c>
      <c r="F46" t="s">
        <v>20</v>
      </c>
      <c r="G46" s="7">
        <v>44971</v>
      </c>
      <c r="H46">
        <v>470</v>
      </c>
      <c r="J46">
        <v>94.56</v>
      </c>
    </row>
    <row r="47" spans="1:10" x14ac:dyDescent="0.45">
      <c r="A47" t="s">
        <v>74</v>
      </c>
      <c r="B47" t="s">
        <v>17</v>
      </c>
      <c r="C47" t="s">
        <v>50</v>
      </c>
      <c r="D47" t="s">
        <v>13</v>
      </c>
      <c r="E47" t="s">
        <v>14</v>
      </c>
      <c r="F47" t="s">
        <v>28</v>
      </c>
      <c r="G47" s="7">
        <v>44972</v>
      </c>
      <c r="H47">
        <v>246</v>
      </c>
      <c r="I47">
        <v>254.9</v>
      </c>
      <c r="J47">
        <v>33.83</v>
      </c>
    </row>
    <row r="48" spans="1:10" x14ac:dyDescent="0.45">
      <c r="A48" t="s">
        <v>75</v>
      </c>
      <c r="B48" t="s">
        <v>17</v>
      </c>
      <c r="C48" t="s">
        <v>18</v>
      </c>
      <c r="D48" t="s">
        <v>23</v>
      </c>
      <c r="E48" t="s">
        <v>14</v>
      </c>
      <c r="F48" t="s">
        <v>28</v>
      </c>
      <c r="G48" s="7">
        <v>44973</v>
      </c>
      <c r="H48">
        <v>298</v>
      </c>
      <c r="I48">
        <v>273.93</v>
      </c>
      <c r="J48">
        <v>311.14</v>
      </c>
    </row>
    <row r="49" spans="1:10" x14ac:dyDescent="0.45">
      <c r="A49" t="s">
        <v>76</v>
      </c>
      <c r="B49" t="s">
        <v>11</v>
      </c>
      <c r="C49" t="s">
        <v>12</v>
      </c>
      <c r="D49" t="s">
        <v>42</v>
      </c>
      <c r="E49" t="s">
        <v>24</v>
      </c>
      <c r="F49" t="s">
        <v>28</v>
      </c>
      <c r="G49" s="7">
        <v>44974</v>
      </c>
      <c r="H49">
        <v>271</v>
      </c>
      <c r="I49">
        <v>259.43</v>
      </c>
      <c r="J49">
        <v>50.57</v>
      </c>
    </row>
    <row r="50" spans="1:10" x14ac:dyDescent="0.45">
      <c r="A50" t="s">
        <v>77</v>
      </c>
      <c r="B50" t="s">
        <v>48</v>
      </c>
      <c r="C50" t="s">
        <v>18</v>
      </c>
      <c r="D50" t="s">
        <v>23</v>
      </c>
      <c r="E50" t="s">
        <v>24</v>
      </c>
      <c r="F50" t="s">
        <v>15</v>
      </c>
      <c r="G50" s="7">
        <v>44975</v>
      </c>
      <c r="H50">
        <v>225</v>
      </c>
      <c r="I50">
        <v>296.08999999999997</v>
      </c>
      <c r="J50">
        <v>238.53</v>
      </c>
    </row>
    <row r="51" spans="1:10" x14ac:dyDescent="0.45">
      <c r="A51" t="s">
        <v>78</v>
      </c>
      <c r="B51" t="s">
        <v>17</v>
      </c>
      <c r="C51" t="s">
        <v>12</v>
      </c>
      <c r="D51" t="s">
        <v>19</v>
      </c>
      <c r="E51" t="s">
        <v>14</v>
      </c>
      <c r="F51" t="s">
        <v>15</v>
      </c>
      <c r="G51" s="7">
        <v>44976</v>
      </c>
      <c r="H51">
        <v>156</v>
      </c>
      <c r="I51">
        <v>19.55</v>
      </c>
      <c r="J51">
        <v>374.71</v>
      </c>
    </row>
    <row r="52" spans="1:10" x14ac:dyDescent="0.45">
      <c r="A52" t="s">
        <v>79</v>
      </c>
      <c r="B52" t="s">
        <v>11</v>
      </c>
      <c r="C52" t="s">
        <v>18</v>
      </c>
      <c r="D52" t="s">
        <v>27</v>
      </c>
      <c r="E52" t="s">
        <v>14</v>
      </c>
      <c r="F52" t="s">
        <v>28</v>
      </c>
      <c r="G52" s="7">
        <v>44977</v>
      </c>
      <c r="H52">
        <v>345</v>
      </c>
      <c r="I52">
        <v>200.78</v>
      </c>
      <c r="J52">
        <v>350.69</v>
      </c>
    </row>
    <row r="53" spans="1:10" x14ac:dyDescent="0.45">
      <c r="A53" t="s">
        <v>80</v>
      </c>
      <c r="B53" t="s">
        <v>48</v>
      </c>
      <c r="C53" t="s">
        <v>50</v>
      </c>
      <c r="D53" t="s">
        <v>19</v>
      </c>
      <c r="E53" t="s">
        <v>14</v>
      </c>
      <c r="F53" t="s">
        <v>20</v>
      </c>
      <c r="G53" s="7">
        <v>44978</v>
      </c>
      <c r="H53">
        <v>177</v>
      </c>
      <c r="I53">
        <v>305.06</v>
      </c>
      <c r="J53">
        <v>112.55</v>
      </c>
    </row>
    <row r="54" spans="1:10" x14ac:dyDescent="0.45">
      <c r="A54" t="s">
        <v>81</v>
      </c>
      <c r="B54" t="s">
        <v>11</v>
      </c>
      <c r="C54" t="s">
        <v>12</v>
      </c>
      <c r="D54" t="s">
        <v>19</v>
      </c>
      <c r="E54" t="s">
        <v>24</v>
      </c>
      <c r="F54" t="s">
        <v>15</v>
      </c>
      <c r="G54" s="7">
        <v>44979</v>
      </c>
      <c r="H54">
        <v>101</v>
      </c>
      <c r="I54">
        <v>300.87</v>
      </c>
      <c r="J54">
        <v>340.88</v>
      </c>
    </row>
    <row r="55" spans="1:10" x14ac:dyDescent="0.45">
      <c r="A55" t="s">
        <v>82</v>
      </c>
      <c r="B55" t="s">
        <v>17</v>
      </c>
      <c r="C55" t="s">
        <v>31</v>
      </c>
      <c r="D55" t="s">
        <v>13</v>
      </c>
      <c r="E55" t="s">
        <v>24</v>
      </c>
      <c r="F55" t="s">
        <v>20</v>
      </c>
      <c r="G55" s="7">
        <v>44980</v>
      </c>
      <c r="H55">
        <v>362</v>
      </c>
      <c r="I55">
        <v>397.51</v>
      </c>
      <c r="J55">
        <v>2.13</v>
      </c>
    </row>
    <row r="56" spans="1:10" x14ac:dyDescent="0.45">
      <c r="A56" t="s">
        <v>83</v>
      </c>
      <c r="B56" t="s">
        <v>11</v>
      </c>
      <c r="C56" t="s">
        <v>18</v>
      </c>
      <c r="D56" t="s">
        <v>27</v>
      </c>
      <c r="E56" t="s">
        <v>24</v>
      </c>
      <c r="F56" t="s">
        <v>28</v>
      </c>
      <c r="G56" s="7">
        <v>44981</v>
      </c>
      <c r="H56">
        <v>68</v>
      </c>
      <c r="I56">
        <v>329.23</v>
      </c>
      <c r="J56">
        <v>9.0399999999999991</v>
      </c>
    </row>
    <row r="57" spans="1:10" x14ac:dyDescent="0.45">
      <c r="A57" t="s">
        <v>84</v>
      </c>
      <c r="B57" t="s">
        <v>17</v>
      </c>
      <c r="C57" t="s">
        <v>18</v>
      </c>
      <c r="D57" t="s">
        <v>19</v>
      </c>
      <c r="E57" t="s">
        <v>24</v>
      </c>
      <c r="F57" t="s">
        <v>28</v>
      </c>
      <c r="G57" s="7">
        <v>44982</v>
      </c>
      <c r="H57">
        <v>68</v>
      </c>
      <c r="I57">
        <v>496.11</v>
      </c>
      <c r="J57">
        <v>241.82</v>
      </c>
    </row>
    <row r="58" spans="1:10" x14ac:dyDescent="0.45">
      <c r="A58" t="s">
        <v>85</v>
      </c>
      <c r="B58" t="s">
        <v>17</v>
      </c>
      <c r="C58" t="s">
        <v>12</v>
      </c>
      <c r="D58" t="s">
        <v>19</v>
      </c>
      <c r="E58" t="s">
        <v>14</v>
      </c>
      <c r="F58" t="s">
        <v>15</v>
      </c>
      <c r="G58" s="7">
        <v>44983</v>
      </c>
      <c r="H58">
        <v>313</v>
      </c>
      <c r="I58">
        <v>145.51</v>
      </c>
      <c r="J58">
        <v>147.19</v>
      </c>
    </row>
    <row r="59" spans="1:10" x14ac:dyDescent="0.45">
      <c r="A59" t="s">
        <v>86</v>
      </c>
      <c r="B59" t="s">
        <v>22</v>
      </c>
      <c r="C59" t="s">
        <v>31</v>
      </c>
      <c r="D59" t="s">
        <v>27</v>
      </c>
      <c r="E59" t="s">
        <v>14</v>
      </c>
      <c r="F59" t="s">
        <v>28</v>
      </c>
      <c r="G59" s="7">
        <v>44984</v>
      </c>
      <c r="H59">
        <v>178</v>
      </c>
      <c r="I59">
        <v>182.78</v>
      </c>
      <c r="J59">
        <v>155.81</v>
      </c>
    </row>
    <row r="60" spans="1:10" x14ac:dyDescent="0.45">
      <c r="A60" t="s">
        <v>87</v>
      </c>
      <c r="B60" t="s">
        <v>11</v>
      </c>
      <c r="C60" t="s">
        <v>31</v>
      </c>
      <c r="D60" t="s">
        <v>27</v>
      </c>
      <c r="E60" t="s">
        <v>14</v>
      </c>
      <c r="F60" t="s">
        <v>15</v>
      </c>
      <c r="G60" s="7">
        <v>44985</v>
      </c>
      <c r="H60">
        <v>278</v>
      </c>
      <c r="I60">
        <v>195</v>
      </c>
      <c r="J60">
        <v>226.65</v>
      </c>
    </row>
    <row r="61" spans="1:10" x14ac:dyDescent="0.45">
      <c r="A61" t="s">
        <v>88</v>
      </c>
      <c r="B61" t="s">
        <v>22</v>
      </c>
      <c r="C61" t="s">
        <v>50</v>
      </c>
      <c r="D61" t="s">
        <v>19</v>
      </c>
      <c r="E61" t="s">
        <v>14</v>
      </c>
      <c r="F61" t="s">
        <v>28</v>
      </c>
      <c r="G61" s="7">
        <v>44986</v>
      </c>
      <c r="H61">
        <v>372</v>
      </c>
      <c r="I61">
        <v>235.58</v>
      </c>
      <c r="J61">
        <v>78.33</v>
      </c>
    </row>
    <row r="62" spans="1:10" x14ac:dyDescent="0.45">
      <c r="A62" t="s">
        <v>89</v>
      </c>
      <c r="B62" t="s">
        <v>11</v>
      </c>
      <c r="C62" t="s">
        <v>31</v>
      </c>
      <c r="D62" t="s">
        <v>27</v>
      </c>
      <c r="E62" t="s">
        <v>24</v>
      </c>
      <c r="F62" t="s">
        <v>28</v>
      </c>
      <c r="G62" s="7">
        <v>44987</v>
      </c>
      <c r="H62">
        <v>54</v>
      </c>
      <c r="I62">
        <v>418.82</v>
      </c>
      <c r="J62">
        <v>86.28</v>
      </c>
    </row>
    <row r="63" spans="1:10" x14ac:dyDescent="0.45">
      <c r="A63" t="s">
        <v>90</v>
      </c>
      <c r="B63" t="s">
        <v>11</v>
      </c>
      <c r="C63" t="s">
        <v>31</v>
      </c>
      <c r="D63" t="s">
        <v>19</v>
      </c>
      <c r="E63" t="s">
        <v>24</v>
      </c>
      <c r="F63" t="s">
        <v>15</v>
      </c>
      <c r="G63" s="7">
        <v>44988</v>
      </c>
      <c r="H63">
        <v>354</v>
      </c>
      <c r="I63">
        <v>121.72</v>
      </c>
      <c r="J63">
        <v>194.87</v>
      </c>
    </row>
    <row r="64" spans="1:10" x14ac:dyDescent="0.45">
      <c r="A64" t="s">
        <v>91</v>
      </c>
      <c r="B64" t="s">
        <v>22</v>
      </c>
      <c r="C64" t="s">
        <v>31</v>
      </c>
      <c r="D64" t="s">
        <v>19</v>
      </c>
      <c r="E64" t="s">
        <v>14</v>
      </c>
      <c r="F64" t="s">
        <v>15</v>
      </c>
      <c r="G64" s="7">
        <v>44989</v>
      </c>
      <c r="H64">
        <v>190</v>
      </c>
      <c r="I64">
        <v>389.12</v>
      </c>
      <c r="J64">
        <v>302.19</v>
      </c>
    </row>
    <row r="65" spans="1:10" x14ac:dyDescent="0.45">
      <c r="A65" t="s">
        <v>92</v>
      </c>
      <c r="B65" t="s">
        <v>17</v>
      </c>
      <c r="C65" t="s">
        <v>26</v>
      </c>
      <c r="D65" t="s">
        <v>13</v>
      </c>
      <c r="E65" t="s">
        <v>14</v>
      </c>
      <c r="F65" t="s">
        <v>15</v>
      </c>
      <c r="G65" s="7">
        <v>44990</v>
      </c>
      <c r="H65">
        <v>179</v>
      </c>
      <c r="I65">
        <v>205.63</v>
      </c>
      <c r="J65">
        <v>248.56</v>
      </c>
    </row>
    <row r="66" spans="1:10" x14ac:dyDescent="0.45">
      <c r="A66" t="s">
        <v>93</v>
      </c>
      <c r="B66" t="s">
        <v>11</v>
      </c>
      <c r="C66" t="s">
        <v>50</v>
      </c>
      <c r="D66" t="s">
        <v>42</v>
      </c>
      <c r="E66" t="s">
        <v>24</v>
      </c>
      <c r="F66" t="s">
        <v>28</v>
      </c>
      <c r="G66" s="7">
        <v>44991</v>
      </c>
      <c r="H66">
        <v>365</v>
      </c>
      <c r="I66">
        <v>302.92</v>
      </c>
      <c r="J66">
        <v>120.35</v>
      </c>
    </row>
    <row r="67" spans="1:10" x14ac:dyDescent="0.45">
      <c r="A67" t="s">
        <v>94</v>
      </c>
      <c r="B67" t="s">
        <v>48</v>
      </c>
      <c r="C67" t="s">
        <v>18</v>
      </c>
      <c r="D67" t="s">
        <v>19</v>
      </c>
      <c r="E67" t="s">
        <v>14</v>
      </c>
      <c r="F67" t="s">
        <v>28</v>
      </c>
      <c r="G67" s="7">
        <v>44992</v>
      </c>
      <c r="H67">
        <v>200</v>
      </c>
      <c r="I67">
        <v>318.11</v>
      </c>
      <c r="J67">
        <v>173.27</v>
      </c>
    </row>
    <row r="68" spans="1:10" x14ac:dyDescent="0.45">
      <c r="A68" t="s">
        <v>95</v>
      </c>
      <c r="B68" t="s">
        <v>17</v>
      </c>
      <c r="C68" t="s">
        <v>12</v>
      </c>
      <c r="D68" t="s">
        <v>23</v>
      </c>
      <c r="E68" t="s">
        <v>24</v>
      </c>
      <c r="F68" t="s">
        <v>20</v>
      </c>
      <c r="G68" s="7">
        <v>44993</v>
      </c>
      <c r="H68">
        <v>164</v>
      </c>
      <c r="I68">
        <v>189.56</v>
      </c>
      <c r="J68">
        <v>69.92</v>
      </c>
    </row>
    <row r="69" spans="1:10" x14ac:dyDescent="0.45">
      <c r="A69" t="s">
        <v>96</v>
      </c>
      <c r="B69" t="s">
        <v>22</v>
      </c>
      <c r="C69" t="s">
        <v>18</v>
      </c>
      <c r="D69" t="s">
        <v>42</v>
      </c>
      <c r="E69" t="s">
        <v>14</v>
      </c>
      <c r="F69" t="s">
        <v>15</v>
      </c>
      <c r="G69" s="7">
        <v>44994</v>
      </c>
      <c r="H69">
        <v>431</v>
      </c>
      <c r="I69">
        <v>258.74</v>
      </c>
      <c r="J69">
        <v>31.7</v>
      </c>
    </row>
    <row r="70" spans="1:10" x14ac:dyDescent="0.45">
      <c r="A70" t="s">
        <v>97</v>
      </c>
      <c r="B70" t="s">
        <v>17</v>
      </c>
      <c r="C70" t="s">
        <v>50</v>
      </c>
      <c r="D70" t="s">
        <v>42</v>
      </c>
      <c r="E70" t="s">
        <v>14</v>
      </c>
      <c r="F70" t="s">
        <v>28</v>
      </c>
      <c r="G70" s="7">
        <v>44995</v>
      </c>
      <c r="H70">
        <v>197</v>
      </c>
      <c r="I70">
        <v>209.45</v>
      </c>
      <c r="J70">
        <v>313.51</v>
      </c>
    </row>
    <row r="71" spans="1:10" x14ac:dyDescent="0.45">
      <c r="A71" t="s">
        <v>98</v>
      </c>
      <c r="B71" t="s">
        <v>48</v>
      </c>
      <c r="C71" t="s">
        <v>12</v>
      </c>
      <c r="D71" t="s">
        <v>42</v>
      </c>
      <c r="E71" t="s">
        <v>14</v>
      </c>
      <c r="F71" t="s">
        <v>28</v>
      </c>
      <c r="G71" s="7">
        <v>44996</v>
      </c>
      <c r="H71">
        <v>16</v>
      </c>
      <c r="I71">
        <v>39.22</v>
      </c>
      <c r="J71">
        <v>107.62</v>
      </c>
    </row>
    <row r="72" spans="1:10" x14ac:dyDescent="0.45">
      <c r="A72" t="s">
        <v>99</v>
      </c>
      <c r="B72" t="s">
        <v>48</v>
      </c>
      <c r="C72" t="s">
        <v>50</v>
      </c>
      <c r="D72" t="s">
        <v>13</v>
      </c>
      <c r="E72" t="s">
        <v>14</v>
      </c>
      <c r="F72" t="s">
        <v>15</v>
      </c>
      <c r="G72" s="7">
        <v>44997</v>
      </c>
      <c r="H72">
        <v>142</v>
      </c>
      <c r="I72">
        <v>221.4</v>
      </c>
      <c r="J72">
        <v>72.75</v>
      </c>
    </row>
    <row r="73" spans="1:10" x14ac:dyDescent="0.45">
      <c r="A73" t="s">
        <v>100</v>
      </c>
      <c r="B73" t="s">
        <v>48</v>
      </c>
      <c r="C73" t="s">
        <v>31</v>
      </c>
      <c r="D73" t="s">
        <v>19</v>
      </c>
      <c r="E73" t="s">
        <v>14</v>
      </c>
      <c r="F73" t="s">
        <v>20</v>
      </c>
      <c r="G73" s="7">
        <v>44998</v>
      </c>
      <c r="H73">
        <v>244</v>
      </c>
      <c r="I73">
        <v>53.21</v>
      </c>
      <c r="J73">
        <v>277.26</v>
      </c>
    </row>
    <row r="74" spans="1:10" x14ac:dyDescent="0.45">
      <c r="A74" t="s">
        <v>101</v>
      </c>
      <c r="B74" t="s">
        <v>22</v>
      </c>
      <c r="C74" t="s">
        <v>12</v>
      </c>
      <c r="D74" t="s">
        <v>13</v>
      </c>
      <c r="E74" t="s">
        <v>14</v>
      </c>
      <c r="F74" t="s">
        <v>15</v>
      </c>
      <c r="G74" s="7">
        <v>44999</v>
      </c>
      <c r="H74">
        <v>54</v>
      </c>
      <c r="I74">
        <v>205.49</v>
      </c>
      <c r="J74">
        <v>247.98</v>
      </c>
    </row>
    <row r="75" spans="1:10" x14ac:dyDescent="0.45">
      <c r="A75" t="s">
        <v>102</v>
      </c>
      <c r="B75" t="s">
        <v>48</v>
      </c>
      <c r="C75" t="s">
        <v>31</v>
      </c>
      <c r="D75" t="s">
        <v>19</v>
      </c>
      <c r="E75" t="s">
        <v>14</v>
      </c>
      <c r="F75" t="s">
        <v>20</v>
      </c>
      <c r="G75" s="7">
        <v>45000</v>
      </c>
      <c r="H75">
        <v>323</v>
      </c>
      <c r="I75">
        <v>298.49</v>
      </c>
      <c r="J75">
        <v>254.01</v>
      </c>
    </row>
    <row r="76" spans="1:10" x14ac:dyDescent="0.45">
      <c r="A76" t="s">
        <v>103</v>
      </c>
      <c r="B76" t="s">
        <v>22</v>
      </c>
      <c r="C76" t="s">
        <v>18</v>
      </c>
      <c r="D76" t="s">
        <v>13</v>
      </c>
      <c r="E76" t="s">
        <v>24</v>
      </c>
      <c r="F76" t="s">
        <v>28</v>
      </c>
      <c r="G76" s="7">
        <v>45001</v>
      </c>
      <c r="H76">
        <v>258</v>
      </c>
      <c r="I76">
        <v>291.81</v>
      </c>
      <c r="J76">
        <v>93.1</v>
      </c>
    </row>
    <row r="77" spans="1:10" x14ac:dyDescent="0.45">
      <c r="A77" t="s">
        <v>104</v>
      </c>
      <c r="B77" t="s">
        <v>48</v>
      </c>
      <c r="C77" t="s">
        <v>18</v>
      </c>
      <c r="D77" t="s">
        <v>13</v>
      </c>
      <c r="E77" t="s">
        <v>24</v>
      </c>
      <c r="F77" t="s">
        <v>20</v>
      </c>
      <c r="G77" s="7">
        <v>45002</v>
      </c>
      <c r="H77">
        <v>40</v>
      </c>
      <c r="I77">
        <v>333</v>
      </c>
      <c r="J77">
        <v>94.59</v>
      </c>
    </row>
    <row r="78" spans="1:10" x14ac:dyDescent="0.45">
      <c r="A78" t="s">
        <v>105</v>
      </c>
      <c r="B78" t="s">
        <v>17</v>
      </c>
      <c r="C78" t="s">
        <v>12</v>
      </c>
      <c r="D78" t="s">
        <v>23</v>
      </c>
      <c r="E78" t="s">
        <v>24</v>
      </c>
      <c r="F78" t="s">
        <v>28</v>
      </c>
      <c r="G78" s="7">
        <v>45003</v>
      </c>
      <c r="H78">
        <v>32</v>
      </c>
      <c r="I78">
        <v>52.15</v>
      </c>
      <c r="J78">
        <v>89.88</v>
      </c>
    </row>
    <row r="79" spans="1:10" x14ac:dyDescent="0.45">
      <c r="A79" t="s">
        <v>106</v>
      </c>
      <c r="B79" t="s">
        <v>17</v>
      </c>
      <c r="C79" t="s">
        <v>12</v>
      </c>
      <c r="D79" t="s">
        <v>13</v>
      </c>
      <c r="E79" t="s">
        <v>24</v>
      </c>
      <c r="F79" t="s">
        <v>15</v>
      </c>
      <c r="G79" s="7">
        <v>45004</v>
      </c>
      <c r="H79">
        <v>435</v>
      </c>
      <c r="I79">
        <v>327.8</v>
      </c>
      <c r="J79">
        <v>71.150000000000006</v>
      </c>
    </row>
    <row r="80" spans="1:10" x14ac:dyDescent="0.45">
      <c r="A80" t="s">
        <v>107</v>
      </c>
      <c r="B80" t="s">
        <v>11</v>
      </c>
      <c r="C80" t="s">
        <v>50</v>
      </c>
      <c r="D80" t="s">
        <v>27</v>
      </c>
      <c r="E80" t="s">
        <v>24</v>
      </c>
      <c r="F80" t="s">
        <v>15</v>
      </c>
      <c r="G80" s="7">
        <v>45005</v>
      </c>
      <c r="H80">
        <v>403</v>
      </c>
      <c r="I80">
        <v>159.51</v>
      </c>
      <c r="J80">
        <v>262.98</v>
      </c>
    </row>
    <row r="81" spans="1:10" x14ac:dyDescent="0.45">
      <c r="A81" t="s">
        <v>108</v>
      </c>
      <c r="B81" t="s">
        <v>17</v>
      </c>
      <c r="C81" t="s">
        <v>50</v>
      </c>
      <c r="D81" t="s">
        <v>23</v>
      </c>
      <c r="E81" t="s">
        <v>14</v>
      </c>
      <c r="F81" t="s">
        <v>15</v>
      </c>
      <c r="G81" s="7">
        <v>45006</v>
      </c>
      <c r="H81">
        <v>169</v>
      </c>
      <c r="J81">
        <v>339.51</v>
      </c>
    </row>
    <row r="82" spans="1:10" x14ac:dyDescent="0.45">
      <c r="A82" t="s">
        <v>109</v>
      </c>
      <c r="B82" t="s">
        <v>11</v>
      </c>
      <c r="C82" t="s">
        <v>31</v>
      </c>
      <c r="D82" t="s">
        <v>13</v>
      </c>
      <c r="E82" t="s">
        <v>14</v>
      </c>
      <c r="F82" t="s">
        <v>20</v>
      </c>
      <c r="G82" s="7">
        <v>45007</v>
      </c>
      <c r="H82">
        <v>372</v>
      </c>
      <c r="I82">
        <v>429.7</v>
      </c>
      <c r="J82">
        <v>290.27999999999997</v>
      </c>
    </row>
    <row r="83" spans="1:10" x14ac:dyDescent="0.45">
      <c r="A83" t="s">
        <v>110</v>
      </c>
      <c r="B83" t="s">
        <v>17</v>
      </c>
      <c r="C83" t="s">
        <v>12</v>
      </c>
      <c r="D83" t="s">
        <v>42</v>
      </c>
      <c r="E83" t="s">
        <v>24</v>
      </c>
      <c r="F83" t="s">
        <v>28</v>
      </c>
      <c r="G83" s="7">
        <v>45008</v>
      </c>
      <c r="H83">
        <v>446</v>
      </c>
      <c r="I83">
        <v>9.4700000000000006</v>
      </c>
      <c r="J83">
        <v>317.25</v>
      </c>
    </row>
    <row r="84" spans="1:10" x14ac:dyDescent="0.45">
      <c r="A84" t="s">
        <v>111</v>
      </c>
      <c r="B84" t="s">
        <v>22</v>
      </c>
      <c r="C84" t="s">
        <v>18</v>
      </c>
      <c r="D84" t="s">
        <v>27</v>
      </c>
      <c r="E84" t="s">
        <v>14</v>
      </c>
      <c r="F84" t="s">
        <v>15</v>
      </c>
      <c r="G84" s="7">
        <v>45009</v>
      </c>
      <c r="H84">
        <v>167</v>
      </c>
      <c r="I84">
        <v>296.26</v>
      </c>
      <c r="J84">
        <v>163.11000000000001</v>
      </c>
    </row>
    <row r="85" spans="1:10" x14ac:dyDescent="0.45">
      <c r="A85" t="s">
        <v>112</v>
      </c>
      <c r="B85" t="s">
        <v>17</v>
      </c>
      <c r="C85" t="s">
        <v>50</v>
      </c>
      <c r="D85" t="s">
        <v>27</v>
      </c>
      <c r="E85" t="s">
        <v>24</v>
      </c>
      <c r="F85" t="s">
        <v>15</v>
      </c>
      <c r="G85" s="7">
        <v>45010</v>
      </c>
      <c r="H85">
        <v>48</v>
      </c>
      <c r="I85">
        <v>301.36</v>
      </c>
      <c r="J85">
        <v>262.32</v>
      </c>
    </row>
    <row r="86" spans="1:10" x14ac:dyDescent="0.45">
      <c r="A86" t="s">
        <v>113</v>
      </c>
      <c r="B86" t="s">
        <v>11</v>
      </c>
      <c r="C86" t="s">
        <v>50</v>
      </c>
      <c r="D86" t="s">
        <v>27</v>
      </c>
      <c r="E86" t="s">
        <v>24</v>
      </c>
      <c r="F86" t="s">
        <v>28</v>
      </c>
      <c r="G86" s="7">
        <v>45011</v>
      </c>
      <c r="H86">
        <v>424</v>
      </c>
      <c r="I86">
        <v>201.35</v>
      </c>
      <c r="J86">
        <v>142.99</v>
      </c>
    </row>
    <row r="87" spans="1:10" x14ac:dyDescent="0.45">
      <c r="A87" t="s">
        <v>114</v>
      </c>
      <c r="B87" t="s">
        <v>11</v>
      </c>
      <c r="C87" t="s">
        <v>18</v>
      </c>
      <c r="D87" t="s">
        <v>23</v>
      </c>
      <c r="E87" t="s">
        <v>14</v>
      </c>
      <c r="F87" t="s">
        <v>15</v>
      </c>
      <c r="G87" s="7">
        <v>45012</v>
      </c>
      <c r="H87">
        <v>91</v>
      </c>
      <c r="I87">
        <v>122.33</v>
      </c>
      <c r="J87">
        <v>211.15</v>
      </c>
    </row>
    <row r="88" spans="1:10" x14ac:dyDescent="0.45">
      <c r="A88" t="s">
        <v>115</v>
      </c>
      <c r="B88" t="s">
        <v>48</v>
      </c>
      <c r="C88" t="s">
        <v>50</v>
      </c>
      <c r="D88" t="s">
        <v>13</v>
      </c>
      <c r="E88" t="s">
        <v>14</v>
      </c>
      <c r="F88" t="s">
        <v>28</v>
      </c>
      <c r="G88" s="7">
        <v>45013</v>
      </c>
      <c r="H88">
        <v>365</v>
      </c>
      <c r="I88">
        <v>121.16</v>
      </c>
      <c r="J88">
        <v>193.69</v>
      </c>
    </row>
    <row r="89" spans="1:10" x14ac:dyDescent="0.45">
      <c r="A89" t="s">
        <v>116</v>
      </c>
      <c r="B89" t="s">
        <v>22</v>
      </c>
      <c r="C89" t="s">
        <v>31</v>
      </c>
      <c r="D89" t="s">
        <v>13</v>
      </c>
      <c r="E89" t="s">
        <v>14</v>
      </c>
      <c r="F89" t="s">
        <v>28</v>
      </c>
      <c r="G89" s="7">
        <v>45014</v>
      </c>
      <c r="H89">
        <v>267</v>
      </c>
      <c r="I89">
        <v>442.44</v>
      </c>
      <c r="J89">
        <v>72.400000000000006</v>
      </c>
    </row>
    <row r="90" spans="1:10" x14ac:dyDescent="0.45">
      <c r="A90" t="s">
        <v>117</v>
      </c>
      <c r="B90" t="s">
        <v>17</v>
      </c>
      <c r="C90" t="s">
        <v>12</v>
      </c>
      <c r="D90" t="s">
        <v>42</v>
      </c>
      <c r="E90" t="s">
        <v>24</v>
      </c>
      <c r="F90" t="s">
        <v>28</v>
      </c>
      <c r="G90" s="7">
        <v>45015</v>
      </c>
      <c r="H90">
        <v>215</v>
      </c>
      <c r="I90">
        <v>223.8</v>
      </c>
      <c r="J90">
        <v>156.06</v>
      </c>
    </row>
    <row r="91" spans="1:10" x14ac:dyDescent="0.45">
      <c r="A91" t="s">
        <v>118</v>
      </c>
      <c r="B91" t="s">
        <v>48</v>
      </c>
      <c r="C91" t="s">
        <v>18</v>
      </c>
      <c r="D91" t="s">
        <v>42</v>
      </c>
      <c r="E91" t="s">
        <v>14</v>
      </c>
      <c r="F91" t="s">
        <v>28</v>
      </c>
      <c r="G91" s="7">
        <v>45016</v>
      </c>
      <c r="H91">
        <v>86</v>
      </c>
      <c r="I91">
        <v>168.79</v>
      </c>
      <c r="J91">
        <v>385.6</v>
      </c>
    </row>
    <row r="92" spans="1:10" x14ac:dyDescent="0.45">
      <c r="A92" t="s">
        <v>119</v>
      </c>
      <c r="B92" t="s">
        <v>17</v>
      </c>
      <c r="C92" t="s">
        <v>12</v>
      </c>
      <c r="D92" t="s">
        <v>27</v>
      </c>
      <c r="E92" t="s">
        <v>24</v>
      </c>
      <c r="F92" t="s">
        <v>28</v>
      </c>
      <c r="G92" s="7">
        <v>45017</v>
      </c>
      <c r="H92">
        <v>486</v>
      </c>
      <c r="I92">
        <v>227.14</v>
      </c>
      <c r="J92">
        <v>100.93</v>
      </c>
    </row>
    <row r="93" spans="1:10" x14ac:dyDescent="0.45">
      <c r="A93" t="s">
        <v>120</v>
      </c>
      <c r="B93" t="s">
        <v>17</v>
      </c>
      <c r="C93" t="s">
        <v>50</v>
      </c>
      <c r="D93" t="s">
        <v>42</v>
      </c>
      <c r="E93" t="s">
        <v>24</v>
      </c>
      <c r="F93" t="s">
        <v>20</v>
      </c>
      <c r="G93" s="7">
        <v>45018</v>
      </c>
      <c r="H93">
        <v>21</v>
      </c>
      <c r="J93">
        <v>55.25</v>
      </c>
    </row>
    <row r="94" spans="1:10" x14ac:dyDescent="0.45">
      <c r="A94" t="s">
        <v>121</v>
      </c>
      <c r="B94" t="s">
        <v>48</v>
      </c>
      <c r="C94" t="s">
        <v>50</v>
      </c>
      <c r="D94" t="s">
        <v>23</v>
      </c>
      <c r="E94" t="s">
        <v>24</v>
      </c>
      <c r="F94" t="s">
        <v>15</v>
      </c>
      <c r="G94" s="7">
        <v>45019</v>
      </c>
      <c r="H94">
        <v>304</v>
      </c>
      <c r="I94">
        <v>77.150000000000006</v>
      </c>
      <c r="J94">
        <v>168.6</v>
      </c>
    </row>
    <row r="95" spans="1:10" x14ac:dyDescent="0.45">
      <c r="A95" t="s">
        <v>122</v>
      </c>
      <c r="B95" t="s">
        <v>48</v>
      </c>
      <c r="C95" t="s">
        <v>18</v>
      </c>
      <c r="D95" t="s">
        <v>13</v>
      </c>
      <c r="E95" t="s">
        <v>14</v>
      </c>
      <c r="F95" t="s">
        <v>20</v>
      </c>
      <c r="G95" s="7">
        <v>45020</v>
      </c>
      <c r="H95">
        <v>459</v>
      </c>
      <c r="I95">
        <v>227.47</v>
      </c>
      <c r="J95">
        <v>316.55</v>
      </c>
    </row>
    <row r="96" spans="1:10" x14ac:dyDescent="0.45">
      <c r="A96" t="s">
        <v>123</v>
      </c>
      <c r="B96" t="s">
        <v>48</v>
      </c>
      <c r="C96" t="s">
        <v>31</v>
      </c>
      <c r="D96" t="s">
        <v>27</v>
      </c>
      <c r="E96" t="s">
        <v>14</v>
      </c>
      <c r="F96" t="s">
        <v>15</v>
      </c>
      <c r="G96" s="7">
        <v>45021</v>
      </c>
      <c r="H96">
        <v>233</v>
      </c>
      <c r="I96">
        <v>296</v>
      </c>
      <c r="J96">
        <v>233.69</v>
      </c>
    </row>
    <row r="97" spans="1:10" x14ac:dyDescent="0.45">
      <c r="A97" t="s">
        <v>124</v>
      </c>
      <c r="B97" t="s">
        <v>48</v>
      </c>
      <c r="C97" t="s">
        <v>26</v>
      </c>
      <c r="D97" t="s">
        <v>42</v>
      </c>
      <c r="E97" t="s">
        <v>24</v>
      </c>
      <c r="F97" t="s">
        <v>20</v>
      </c>
      <c r="G97" s="7">
        <v>45022</v>
      </c>
      <c r="H97">
        <v>22</v>
      </c>
      <c r="I97">
        <v>474.55</v>
      </c>
      <c r="J97">
        <v>273.02999999999997</v>
      </c>
    </row>
    <row r="98" spans="1:10" x14ac:dyDescent="0.45">
      <c r="A98" t="s">
        <v>125</v>
      </c>
      <c r="B98" t="s">
        <v>48</v>
      </c>
      <c r="C98" t="s">
        <v>18</v>
      </c>
      <c r="D98" t="s">
        <v>23</v>
      </c>
      <c r="E98" t="s">
        <v>14</v>
      </c>
      <c r="F98" t="s">
        <v>28</v>
      </c>
      <c r="G98" s="7">
        <v>45023</v>
      </c>
      <c r="H98">
        <v>55</v>
      </c>
      <c r="I98">
        <v>130</v>
      </c>
      <c r="J98">
        <v>77.5</v>
      </c>
    </row>
    <row r="99" spans="1:10" x14ac:dyDescent="0.45">
      <c r="A99" t="s">
        <v>126</v>
      </c>
      <c r="B99" t="s">
        <v>17</v>
      </c>
      <c r="C99" t="s">
        <v>26</v>
      </c>
      <c r="D99" t="s">
        <v>23</v>
      </c>
      <c r="E99" t="s">
        <v>14</v>
      </c>
      <c r="F99" t="s">
        <v>15</v>
      </c>
      <c r="G99" s="7">
        <v>45024</v>
      </c>
      <c r="H99">
        <v>164</v>
      </c>
      <c r="I99">
        <v>182.83</v>
      </c>
      <c r="J99">
        <v>248.34</v>
      </c>
    </row>
    <row r="100" spans="1:10" x14ac:dyDescent="0.45">
      <c r="A100" t="s">
        <v>127</v>
      </c>
      <c r="B100" t="s">
        <v>48</v>
      </c>
      <c r="C100" t="s">
        <v>26</v>
      </c>
      <c r="D100" t="s">
        <v>42</v>
      </c>
      <c r="E100" t="s">
        <v>14</v>
      </c>
      <c r="F100" t="s">
        <v>15</v>
      </c>
      <c r="G100" s="7">
        <v>45025</v>
      </c>
      <c r="H100">
        <v>122</v>
      </c>
      <c r="I100">
        <v>192.78</v>
      </c>
      <c r="J100">
        <v>130.75</v>
      </c>
    </row>
    <row r="101" spans="1:10" x14ac:dyDescent="0.45">
      <c r="A101" t="s">
        <v>128</v>
      </c>
      <c r="B101" t="s">
        <v>22</v>
      </c>
      <c r="C101" t="s">
        <v>31</v>
      </c>
      <c r="D101" t="s">
        <v>13</v>
      </c>
      <c r="E101" t="s">
        <v>24</v>
      </c>
      <c r="F101" t="s">
        <v>20</v>
      </c>
      <c r="G101" s="7">
        <v>45026</v>
      </c>
      <c r="H101">
        <v>242</v>
      </c>
      <c r="I101">
        <v>304.74</v>
      </c>
      <c r="J101">
        <v>334.05</v>
      </c>
    </row>
    <row r="102" spans="1:10" x14ac:dyDescent="0.45">
      <c r="A102" t="s">
        <v>129</v>
      </c>
      <c r="B102" t="s">
        <v>11</v>
      </c>
      <c r="C102" t="s">
        <v>26</v>
      </c>
      <c r="D102" t="s">
        <v>42</v>
      </c>
      <c r="E102" t="s">
        <v>24</v>
      </c>
      <c r="F102" t="s">
        <v>20</v>
      </c>
      <c r="G102" s="7">
        <v>45027</v>
      </c>
      <c r="H102">
        <v>26</v>
      </c>
      <c r="I102">
        <v>181.58</v>
      </c>
      <c r="J102">
        <v>252.46</v>
      </c>
    </row>
    <row r="103" spans="1:10" x14ac:dyDescent="0.45">
      <c r="A103" t="s">
        <v>130</v>
      </c>
      <c r="B103" t="s">
        <v>48</v>
      </c>
      <c r="C103" t="s">
        <v>26</v>
      </c>
      <c r="D103" t="s">
        <v>27</v>
      </c>
      <c r="E103" t="s">
        <v>14</v>
      </c>
      <c r="F103" t="s">
        <v>15</v>
      </c>
      <c r="G103" s="7">
        <v>45028</v>
      </c>
      <c r="H103">
        <v>369</v>
      </c>
      <c r="I103">
        <v>269.08999999999997</v>
      </c>
      <c r="J103">
        <v>81.14</v>
      </c>
    </row>
    <row r="104" spans="1:10" x14ac:dyDescent="0.45">
      <c r="A104" t="s">
        <v>131</v>
      </c>
      <c r="B104" t="s">
        <v>48</v>
      </c>
      <c r="C104" t="s">
        <v>31</v>
      </c>
      <c r="D104" t="s">
        <v>42</v>
      </c>
      <c r="E104" t="s">
        <v>24</v>
      </c>
      <c r="F104" t="s">
        <v>20</v>
      </c>
      <c r="G104" s="7">
        <v>45029</v>
      </c>
      <c r="H104">
        <v>232</v>
      </c>
      <c r="I104">
        <v>391.99</v>
      </c>
      <c r="J104">
        <v>27.72</v>
      </c>
    </row>
    <row r="105" spans="1:10" x14ac:dyDescent="0.45">
      <c r="A105" t="s">
        <v>132</v>
      </c>
      <c r="B105" t="s">
        <v>17</v>
      </c>
      <c r="C105" t="s">
        <v>26</v>
      </c>
      <c r="D105" t="s">
        <v>23</v>
      </c>
      <c r="E105" t="s">
        <v>14</v>
      </c>
      <c r="F105" t="s">
        <v>20</v>
      </c>
      <c r="G105" s="7">
        <v>45030</v>
      </c>
      <c r="H105">
        <v>363</v>
      </c>
      <c r="I105">
        <v>354.17</v>
      </c>
      <c r="J105">
        <v>18.97</v>
      </c>
    </row>
    <row r="106" spans="1:10" x14ac:dyDescent="0.45">
      <c r="A106" t="s">
        <v>133</v>
      </c>
      <c r="B106" t="s">
        <v>48</v>
      </c>
      <c r="C106" t="s">
        <v>26</v>
      </c>
      <c r="D106" t="s">
        <v>42</v>
      </c>
      <c r="E106" t="s">
        <v>14</v>
      </c>
      <c r="F106" t="s">
        <v>20</v>
      </c>
      <c r="G106" s="7">
        <v>45031</v>
      </c>
      <c r="H106">
        <v>197</v>
      </c>
      <c r="I106">
        <v>225.95</v>
      </c>
      <c r="J106">
        <v>149.82</v>
      </c>
    </row>
    <row r="107" spans="1:10" x14ac:dyDescent="0.45">
      <c r="A107" t="s">
        <v>134</v>
      </c>
      <c r="B107" t="s">
        <v>48</v>
      </c>
      <c r="C107" t="s">
        <v>26</v>
      </c>
      <c r="D107" t="s">
        <v>13</v>
      </c>
      <c r="E107" t="s">
        <v>14</v>
      </c>
      <c r="F107" t="s">
        <v>28</v>
      </c>
      <c r="G107" s="7">
        <v>45032</v>
      </c>
      <c r="H107">
        <v>457</v>
      </c>
      <c r="I107">
        <v>432.79</v>
      </c>
      <c r="J107">
        <v>107.81</v>
      </c>
    </row>
    <row r="108" spans="1:10" x14ac:dyDescent="0.45">
      <c r="A108" t="s">
        <v>135</v>
      </c>
      <c r="B108" t="s">
        <v>48</v>
      </c>
      <c r="C108" t="s">
        <v>18</v>
      </c>
      <c r="D108" t="s">
        <v>19</v>
      </c>
      <c r="E108" t="s">
        <v>14</v>
      </c>
      <c r="F108" t="s">
        <v>28</v>
      </c>
      <c r="G108" s="7">
        <v>45033</v>
      </c>
      <c r="H108">
        <v>353</v>
      </c>
      <c r="I108">
        <v>281.27999999999997</v>
      </c>
      <c r="J108">
        <v>259.14</v>
      </c>
    </row>
    <row r="109" spans="1:10" x14ac:dyDescent="0.45">
      <c r="A109" t="s">
        <v>136</v>
      </c>
      <c r="B109" t="s">
        <v>17</v>
      </c>
      <c r="C109" t="s">
        <v>18</v>
      </c>
      <c r="D109" t="s">
        <v>42</v>
      </c>
      <c r="E109" t="s">
        <v>24</v>
      </c>
      <c r="F109" t="s">
        <v>20</v>
      </c>
      <c r="G109" s="7">
        <v>45034</v>
      </c>
      <c r="H109">
        <v>374</v>
      </c>
      <c r="I109">
        <v>272.25</v>
      </c>
      <c r="J109">
        <v>200.73</v>
      </c>
    </row>
    <row r="110" spans="1:10" x14ac:dyDescent="0.45">
      <c r="A110" t="s">
        <v>137</v>
      </c>
      <c r="B110" t="s">
        <v>48</v>
      </c>
      <c r="C110" t="s">
        <v>18</v>
      </c>
      <c r="D110" t="s">
        <v>13</v>
      </c>
      <c r="E110" t="s">
        <v>24</v>
      </c>
      <c r="F110" t="s">
        <v>20</v>
      </c>
      <c r="G110" s="7">
        <v>45035</v>
      </c>
      <c r="H110">
        <v>172</v>
      </c>
      <c r="I110">
        <v>21.92</v>
      </c>
      <c r="J110">
        <v>107.88</v>
      </c>
    </row>
    <row r="111" spans="1:10" x14ac:dyDescent="0.45">
      <c r="A111" t="s">
        <v>138</v>
      </c>
      <c r="B111" t="s">
        <v>11</v>
      </c>
      <c r="C111" t="s">
        <v>31</v>
      </c>
      <c r="D111" t="s">
        <v>13</v>
      </c>
      <c r="E111" t="s">
        <v>24</v>
      </c>
      <c r="F111" t="s">
        <v>28</v>
      </c>
      <c r="G111" s="7">
        <v>45036</v>
      </c>
      <c r="H111">
        <v>335</v>
      </c>
      <c r="I111">
        <v>493.41</v>
      </c>
      <c r="J111">
        <v>61.4</v>
      </c>
    </row>
    <row r="112" spans="1:10" x14ac:dyDescent="0.45">
      <c r="A112" t="s">
        <v>139</v>
      </c>
      <c r="B112" t="s">
        <v>17</v>
      </c>
      <c r="C112" t="s">
        <v>50</v>
      </c>
      <c r="D112" t="s">
        <v>23</v>
      </c>
      <c r="E112" t="s">
        <v>14</v>
      </c>
      <c r="F112" t="s">
        <v>28</v>
      </c>
      <c r="G112" s="7">
        <v>45037</v>
      </c>
      <c r="H112">
        <v>476</v>
      </c>
      <c r="I112">
        <v>65.87</v>
      </c>
      <c r="J112">
        <v>52.63</v>
      </c>
    </row>
    <row r="113" spans="1:10" x14ac:dyDescent="0.45">
      <c r="A113" t="s">
        <v>140</v>
      </c>
      <c r="B113" t="s">
        <v>11</v>
      </c>
      <c r="C113" t="s">
        <v>26</v>
      </c>
      <c r="D113" t="s">
        <v>13</v>
      </c>
      <c r="E113" t="s">
        <v>14</v>
      </c>
      <c r="F113" t="s">
        <v>15</v>
      </c>
      <c r="G113" s="7">
        <v>45038</v>
      </c>
      <c r="H113">
        <v>423</v>
      </c>
      <c r="I113">
        <v>119.41</v>
      </c>
      <c r="J113">
        <v>346.13</v>
      </c>
    </row>
    <row r="114" spans="1:10" x14ac:dyDescent="0.45">
      <c r="A114" t="s">
        <v>141</v>
      </c>
      <c r="B114" t="s">
        <v>17</v>
      </c>
      <c r="C114" t="s">
        <v>26</v>
      </c>
      <c r="D114" t="s">
        <v>13</v>
      </c>
      <c r="E114" t="s">
        <v>14</v>
      </c>
      <c r="F114" t="s">
        <v>15</v>
      </c>
      <c r="G114" s="7">
        <v>45039</v>
      </c>
      <c r="H114">
        <v>464</v>
      </c>
      <c r="I114">
        <v>30.59</v>
      </c>
      <c r="J114">
        <v>98.9</v>
      </c>
    </row>
    <row r="115" spans="1:10" x14ac:dyDescent="0.45">
      <c r="A115" t="s">
        <v>142</v>
      </c>
      <c r="B115" t="s">
        <v>48</v>
      </c>
      <c r="C115" t="s">
        <v>31</v>
      </c>
      <c r="D115" t="s">
        <v>13</v>
      </c>
      <c r="E115" t="s">
        <v>24</v>
      </c>
      <c r="F115" t="s">
        <v>28</v>
      </c>
      <c r="G115" s="7">
        <v>45040</v>
      </c>
      <c r="H115">
        <v>83</v>
      </c>
      <c r="I115">
        <v>321.8</v>
      </c>
      <c r="J115">
        <v>261.38</v>
      </c>
    </row>
    <row r="116" spans="1:10" x14ac:dyDescent="0.45">
      <c r="A116" t="s">
        <v>143</v>
      </c>
      <c r="B116" t="s">
        <v>11</v>
      </c>
      <c r="C116" t="s">
        <v>26</v>
      </c>
      <c r="D116" t="s">
        <v>13</v>
      </c>
      <c r="E116" t="s">
        <v>14</v>
      </c>
      <c r="F116" t="s">
        <v>20</v>
      </c>
      <c r="G116" s="7">
        <v>45041</v>
      </c>
      <c r="H116">
        <v>242</v>
      </c>
      <c r="I116">
        <v>116.23</v>
      </c>
      <c r="J116">
        <v>324.64999999999998</v>
      </c>
    </row>
    <row r="117" spans="1:10" x14ac:dyDescent="0.45">
      <c r="A117" t="s">
        <v>144</v>
      </c>
      <c r="B117" t="s">
        <v>17</v>
      </c>
      <c r="C117" t="s">
        <v>18</v>
      </c>
      <c r="D117" t="s">
        <v>27</v>
      </c>
      <c r="E117" t="s">
        <v>24</v>
      </c>
      <c r="F117" t="s">
        <v>20</v>
      </c>
      <c r="G117" s="7">
        <v>45042</v>
      </c>
      <c r="H117">
        <v>233</v>
      </c>
      <c r="I117">
        <v>94.11</v>
      </c>
      <c r="J117">
        <v>246.4</v>
      </c>
    </row>
    <row r="118" spans="1:10" x14ac:dyDescent="0.45">
      <c r="A118" t="s">
        <v>145</v>
      </c>
      <c r="B118" t="s">
        <v>22</v>
      </c>
      <c r="C118" t="s">
        <v>50</v>
      </c>
      <c r="D118" t="s">
        <v>27</v>
      </c>
      <c r="E118" t="s">
        <v>24</v>
      </c>
      <c r="F118" t="s">
        <v>20</v>
      </c>
      <c r="G118" s="7">
        <v>45043</v>
      </c>
      <c r="H118">
        <v>491</v>
      </c>
      <c r="I118">
        <v>48.84</v>
      </c>
      <c r="J118">
        <v>344.11</v>
      </c>
    </row>
    <row r="119" spans="1:10" x14ac:dyDescent="0.45">
      <c r="A119" t="s">
        <v>146</v>
      </c>
      <c r="B119" t="s">
        <v>17</v>
      </c>
      <c r="C119" t="s">
        <v>12</v>
      </c>
      <c r="D119" t="s">
        <v>23</v>
      </c>
      <c r="E119" t="s">
        <v>24</v>
      </c>
      <c r="F119" t="s">
        <v>20</v>
      </c>
      <c r="G119" s="7">
        <v>45044</v>
      </c>
      <c r="H119">
        <v>328</v>
      </c>
      <c r="I119">
        <v>56.14</v>
      </c>
      <c r="J119">
        <v>158.16999999999999</v>
      </c>
    </row>
    <row r="120" spans="1:10" x14ac:dyDescent="0.45">
      <c r="A120" t="s">
        <v>147</v>
      </c>
      <c r="B120" t="s">
        <v>17</v>
      </c>
      <c r="C120" t="s">
        <v>26</v>
      </c>
      <c r="D120" t="s">
        <v>42</v>
      </c>
      <c r="E120" t="s">
        <v>24</v>
      </c>
      <c r="F120" t="s">
        <v>15</v>
      </c>
      <c r="G120" s="7">
        <v>45045</v>
      </c>
      <c r="H120">
        <v>421</v>
      </c>
      <c r="I120">
        <v>294.41000000000003</v>
      </c>
      <c r="J120">
        <v>382.58</v>
      </c>
    </row>
    <row r="121" spans="1:10" x14ac:dyDescent="0.45">
      <c r="A121" t="s">
        <v>148</v>
      </c>
      <c r="B121" t="s">
        <v>22</v>
      </c>
      <c r="C121" t="s">
        <v>18</v>
      </c>
      <c r="D121" t="s">
        <v>13</v>
      </c>
      <c r="E121" t="s">
        <v>24</v>
      </c>
      <c r="F121" t="s">
        <v>28</v>
      </c>
      <c r="G121" s="7">
        <v>45046</v>
      </c>
      <c r="H121">
        <v>69</v>
      </c>
      <c r="I121">
        <v>345.66</v>
      </c>
      <c r="J121">
        <v>54.99</v>
      </c>
    </row>
    <row r="122" spans="1:10" x14ac:dyDescent="0.45">
      <c r="A122" t="s">
        <v>149</v>
      </c>
      <c r="B122" t="s">
        <v>17</v>
      </c>
      <c r="C122" t="s">
        <v>12</v>
      </c>
      <c r="D122" t="s">
        <v>42</v>
      </c>
      <c r="E122" t="s">
        <v>24</v>
      </c>
      <c r="F122" t="s">
        <v>20</v>
      </c>
      <c r="G122" s="7">
        <v>45047</v>
      </c>
      <c r="H122">
        <v>344</v>
      </c>
      <c r="I122">
        <v>201.7</v>
      </c>
      <c r="J122">
        <v>42.66</v>
      </c>
    </row>
    <row r="123" spans="1:10" x14ac:dyDescent="0.45">
      <c r="A123" t="s">
        <v>150</v>
      </c>
      <c r="B123" t="s">
        <v>17</v>
      </c>
      <c r="C123" t="s">
        <v>50</v>
      </c>
      <c r="D123" t="s">
        <v>42</v>
      </c>
      <c r="E123" t="s">
        <v>14</v>
      </c>
      <c r="F123" t="s">
        <v>15</v>
      </c>
      <c r="G123" s="7">
        <v>45048</v>
      </c>
      <c r="H123">
        <v>231</v>
      </c>
      <c r="I123">
        <v>242.55</v>
      </c>
      <c r="J123">
        <v>264.16000000000003</v>
      </c>
    </row>
    <row r="124" spans="1:10" x14ac:dyDescent="0.45">
      <c r="A124" t="s">
        <v>151</v>
      </c>
      <c r="B124" t="s">
        <v>48</v>
      </c>
      <c r="C124" t="s">
        <v>12</v>
      </c>
      <c r="D124" t="s">
        <v>23</v>
      </c>
      <c r="E124" t="s">
        <v>14</v>
      </c>
      <c r="F124" t="s">
        <v>20</v>
      </c>
      <c r="G124" s="7">
        <v>45049</v>
      </c>
      <c r="H124">
        <v>46</v>
      </c>
      <c r="I124">
        <v>344.55</v>
      </c>
      <c r="J124">
        <v>377.25</v>
      </c>
    </row>
    <row r="125" spans="1:10" x14ac:dyDescent="0.45">
      <c r="A125" t="s">
        <v>152</v>
      </c>
      <c r="B125" t="s">
        <v>11</v>
      </c>
      <c r="C125" t="s">
        <v>18</v>
      </c>
      <c r="D125" t="s">
        <v>13</v>
      </c>
      <c r="E125" t="s">
        <v>24</v>
      </c>
      <c r="F125" t="s">
        <v>28</v>
      </c>
      <c r="G125" s="7">
        <v>45050</v>
      </c>
      <c r="H125">
        <v>486</v>
      </c>
      <c r="I125">
        <v>13.6</v>
      </c>
      <c r="J125">
        <v>323.94</v>
      </c>
    </row>
    <row r="126" spans="1:10" x14ac:dyDescent="0.45">
      <c r="A126" t="s">
        <v>153</v>
      </c>
      <c r="B126" t="s">
        <v>22</v>
      </c>
      <c r="C126" t="s">
        <v>12</v>
      </c>
      <c r="D126" t="s">
        <v>13</v>
      </c>
      <c r="E126" t="s">
        <v>24</v>
      </c>
      <c r="F126" t="s">
        <v>15</v>
      </c>
      <c r="G126" s="7">
        <v>45051</v>
      </c>
      <c r="H126">
        <v>287</v>
      </c>
      <c r="I126">
        <v>164.95</v>
      </c>
      <c r="J126">
        <v>32.409999999999997</v>
      </c>
    </row>
    <row r="127" spans="1:10" x14ac:dyDescent="0.45">
      <c r="A127" t="s">
        <v>154</v>
      </c>
      <c r="B127" t="s">
        <v>17</v>
      </c>
      <c r="C127" t="s">
        <v>31</v>
      </c>
      <c r="D127" t="s">
        <v>19</v>
      </c>
      <c r="E127" t="s">
        <v>14</v>
      </c>
      <c r="F127" t="s">
        <v>28</v>
      </c>
      <c r="G127" s="7">
        <v>45052</v>
      </c>
      <c r="H127">
        <v>205</v>
      </c>
      <c r="I127">
        <v>486.68</v>
      </c>
      <c r="J127">
        <v>113.19</v>
      </c>
    </row>
    <row r="128" spans="1:10" x14ac:dyDescent="0.45">
      <c r="A128" t="s">
        <v>155</v>
      </c>
      <c r="B128" t="s">
        <v>48</v>
      </c>
      <c r="C128" t="s">
        <v>12</v>
      </c>
      <c r="D128" t="s">
        <v>42</v>
      </c>
      <c r="E128" t="s">
        <v>24</v>
      </c>
      <c r="F128" t="s">
        <v>28</v>
      </c>
      <c r="G128" s="7">
        <v>45053</v>
      </c>
      <c r="H128">
        <v>413</v>
      </c>
      <c r="I128">
        <v>292.16000000000003</v>
      </c>
      <c r="J128">
        <v>372.27</v>
      </c>
    </row>
    <row r="129" spans="1:10" x14ac:dyDescent="0.45">
      <c r="A129" t="s">
        <v>156</v>
      </c>
      <c r="B129" t="s">
        <v>22</v>
      </c>
      <c r="C129" t="s">
        <v>26</v>
      </c>
      <c r="D129" t="s">
        <v>42</v>
      </c>
      <c r="E129" t="s">
        <v>24</v>
      </c>
      <c r="F129" t="s">
        <v>15</v>
      </c>
      <c r="G129" s="7">
        <v>45054</v>
      </c>
      <c r="H129">
        <v>361</v>
      </c>
      <c r="I129">
        <v>130.84</v>
      </c>
      <c r="J129">
        <v>102.72</v>
      </c>
    </row>
    <row r="130" spans="1:10" x14ac:dyDescent="0.45">
      <c r="A130" t="s">
        <v>157</v>
      </c>
      <c r="B130" t="s">
        <v>17</v>
      </c>
      <c r="C130" t="s">
        <v>26</v>
      </c>
      <c r="D130" t="s">
        <v>27</v>
      </c>
      <c r="E130" t="s">
        <v>14</v>
      </c>
      <c r="F130" t="s">
        <v>15</v>
      </c>
      <c r="G130" s="7">
        <v>45055</v>
      </c>
      <c r="H130">
        <v>493</v>
      </c>
      <c r="I130">
        <v>263.26</v>
      </c>
      <c r="J130">
        <v>312.91000000000003</v>
      </c>
    </row>
    <row r="131" spans="1:10" x14ac:dyDescent="0.45">
      <c r="A131" t="s">
        <v>158</v>
      </c>
      <c r="B131" t="s">
        <v>17</v>
      </c>
      <c r="C131" t="s">
        <v>31</v>
      </c>
      <c r="D131" t="s">
        <v>19</v>
      </c>
      <c r="E131" t="s">
        <v>24</v>
      </c>
      <c r="F131" t="s">
        <v>15</v>
      </c>
      <c r="G131" s="7">
        <v>45056</v>
      </c>
      <c r="H131">
        <v>251</v>
      </c>
      <c r="I131">
        <v>174.61</v>
      </c>
      <c r="J131">
        <v>330.4</v>
      </c>
    </row>
    <row r="132" spans="1:10" x14ac:dyDescent="0.45">
      <c r="A132" t="s">
        <v>159</v>
      </c>
      <c r="B132" t="s">
        <v>17</v>
      </c>
      <c r="C132" t="s">
        <v>18</v>
      </c>
      <c r="D132" t="s">
        <v>27</v>
      </c>
      <c r="E132" t="s">
        <v>24</v>
      </c>
      <c r="F132" t="s">
        <v>15</v>
      </c>
      <c r="G132" s="7">
        <v>45057</v>
      </c>
      <c r="I132">
        <v>268.45999999999998</v>
      </c>
      <c r="J132">
        <v>199.19</v>
      </c>
    </row>
    <row r="133" spans="1:10" x14ac:dyDescent="0.45">
      <c r="A133" t="s">
        <v>160</v>
      </c>
      <c r="B133" t="s">
        <v>22</v>
      </c>
      <c r="C133" t="s">
        <v>26</v>
      </c>
      <c r="D133" t="s">
        <v>27</v>
      </c>
      <c r="E133" t="s">
        <v>24</v>
      </c>
      <c r="F133" t="s">
        <v>15</v>
      </c>
      <c r="G133" s="7">
        <v>45058</v>
      </c>
      <c r="H133">
        <v>228</v>
      </c>
      <c r="I133">
        <v>67.239999999999995</v>
      </c>
      <c r="J133">
        <v>155.77000000000001</v>
      </c>
    </row>
    <row r="134" spans="1:10" x14ac:dyDescent="0.45">
      <c r="A134" t="s">
        <v>161</v>
      </c>
      <c r="B134" t="s">
        <v>22</v>
      </c>
      <c r="C134" t="s">
        <v>50</v>
      </c>
      <c r="D134" t="s">
        <v>27</v>
      </c>
      <c r="E134" t="s">
        <v>14</v>
      </c>
      <c r="F134" t="s">
        <v>15</v>
      </c>
      <c r="G134" s="7">
        <v>45059</v>
      </c>
      <c r="H134">
        <v>201</v>
      </c>
      <c r="I134">
        <v>70.69</v>
      </c>
      <c r="J134">
        <v>181.15</v>
      </c>
    </row>
    <row r="135" spans="1:10" x14ac:dyDescent="0.45">
      <c r="A135" t="s">
        <v>162</v>
      </c>
      <c r="B135" t="s">
        <v>22</v>
      </c>
      <c r="C135" t="s">
        <v>26</v>
      </c>
      <c r="D135" t="s">
        <v>23</v>
      </c>
      <c r="E135" t="s">
        <v>14</v>
      </c>
      <c r="F135" t="s">
        <v>15</v>
      </c>
      <c r="G135" s="7">
        <v>45060</v>
      </c>
      <c r="H135">
        <v>26</v>
      </c>
      <c r="I135">
        <v>76.05</v>
      </c>
      <c r="J135">
        <v>92.33</v>
      </c>
    </row>
    <row r="136" spans="1:10" x14ac:dyDescent="0.45">
      <c r="A136" t="s">
        <v>163</v>
      </c>
      <c r="B136" t="s">
        <v>11</v>
      </c>
      <c r="C136" t="s">
        <v>26</v>
      </c>
      <c r="D136" t="s">
        <v>23</v>
      </c>
      <c r="E136" t="s">
        <v>14</v>
      </c>
      <c r="F136" t="s">
        <v>20</v>
      </c>
      <c r="G136" s="7">
        <v>45061</v>
      </c>
      <c r="H136">
        <v>21</v>
      </c>
      <c r="I136">
        <v>470.21</v>
      </c>
      <c r="J136">
        <v>355.98</v>
      </c>
    </row>
    <row r="137" spans="1:10" x14ac:dyDescent="0.45">
      <c r="A137" t="s">
        <v>164</v>
      </c>
      <c r="B137" t="s">
        <v>22</v>
      </c>
      <c r="C137" t="s">
        <v>18</v>
      </c>
      <c r="D137" t="s">
        <v>27</v>
      </c>
      <c r="E137" t="s">
        <v>24</v>
      </c>
      <c r="F137" t="s">
        <v>28</v>
      </c>
      <c r="G137" s="7">
        <v>45062</v>
      </c>
      <c r="H137">
        <v>415</v>
      </c>
      <c r="I137">
        <v>367.78</v>
      </c>
      <c r="J137">
        <v>181.35</v>
      </c>
    </row>
    <row r="138" spans="1:10" x14ac:dyDescent="0.45">
      <c r="A138" t="s">
        <v>165</v>
      </c>
      <c r="B138" t="s">
        <v>22</v>
      </c>
      <c r="C138" t="s">
        <v>12</v>
      </c>
      <c r="D138" t="s">
        <v>19</v>
      </c>
      <c r="E138" t="s">
        <v>24</v>
      </c>
      <c r="F138" t="s">
        <v>15</v>
      </c>
      <c r="G138" s="7">
        <v>45063</v>
      </c>
      <c r="H138">
        <v>410</v>
      </c>
      <c r="I138">
        <v>85.38</v>
      </c>
      <c r="J138">
        <v>353.22</v>
      </c>
    </row>
    <row r="139" spans="1:10" x14ac:dyDescent="0.45">
      <c r="A139" t="s">
        <v>166</v>
      </c>
      <c r="B139" t="s">
        <v>22</v>
      </c>
      <c r="C139" t="s">
        <v>26</v>
      </c>
      <c r="D139" t="s">
        <v>42</v>
      </c>
      <c r="E139" t="s">
        <v>14</v>
      </c>
      <c r="F139" t="s">
        <v>20</v>
      </c>
      <c r="G139" s="7">
        <v>45064</v>
      </c>
      <c r="H139">
        <v>403</v>
      </c>
      <c r="I139">
        <v>98.23</v>
      </c>
      <c r="J139">
        <v>44.07</v>
      </c>
    </row>
    <row r="140" spans="1:10" x14ac:dyDescent="0.45">
      <c r="A140" t="s">
        <v>167</v>
      </c>
      <c r="B140" t="s">
        <v>11</v>
      </c>
      <c r="C140" t="s">
        <v>31</v>
      </c>
      <c r="D140" t="s">
        <v>19</v>
      </c>
      <c r="E140" t="s">
        <v>24</v>
      </c>
      <c r="F140" t="s">
        <v>20</v>
      </c>
      <c r="G140" s="7">
        <v>45065</v>
      </c>
      <c r="H140">
        <v>383</v>
      </c>
      <c r="I140">
        <v>366.76</v>
      </c>
      <c r="J140">
        <v>395.33</v>
      </c>
    </row>
    <row r="141" spans="1:10" x14ac:dyDescent="0.45">
      <c r="A141" t="s">
        <v>168</v>
      </c>
      <c r="B141" t="s">
        <v>22</v>
      </c>
      <c r="C141" t="s">
        <v>12</v>
      </c>
      <c r="D141" t="s">
        <v>13</v>
      </c>
      <c r="E141" t="s">
        <v>24</v>
      </c>
      <c r="F141" t="s">
        <v>20</v>
      </c>
      <c r="G141" s="7">
        <v>45066</v>
      </c>
      <c r="H141">
        <v>202</v>
      </c>
      <c r="I141">
        <v>82.3</v>
      </c>
      <c r="J141">
        <v>178.42</v>
      </c>
    </row>
    <row r="142" spans="1:10" x14ac:dyDescent="0.45">
      <c r="A142" t="s">
        <v>169</v>
      </c>
      <c r="B142" t="s">
        <v>17</v>
      </c>
      <c r="C142" t="s">
        <v>50</v>
      </c>
      <c r="D142" t="s">
        <v>23</v>
      </c>
      <c r="E142" t="s">
        <v>24</v>
      </c>
      <c r="F142" t="s">
        <v>28</v>
      </c>
      <c r="G142" s="7">
        <v>45067</v>
      </c>
      <c r="H142">
        <v>31</v>
      </c>
      <c r="I142">
        <v>121.11</v>
      </c>
      <c r="J142">
        <v>21.04</v>
      </c>
    </row>
    <row r="143" spans="1:10" x14ac:dyDescent="0.45">
      <c r="A143" t="s">
        <v>170</v>
      </c>
      <c r="B143" t="s">
        <v>22</v>
      </c>
      <c r="C143" t="s">
        <v>18</v>
      </c>
      <c r="D143" t="s">
        <v>42</v>
      </c>
      <c r="E143" t="s">
        <v>24</v>
      </c>
      <c r="F143" t="s">
        <v>15</v>
      </c>
      <c r="G143" s="7">
        <v>45068</v>
      </c>
      <c r="H143">
        <v>483</v>
      </c>
      <c r="I143">
        <v>481.86</v>
      </c>
      <c r="J143">
        <v>17.13</v>
      </c>
    </row>
    <row r="144" spans="1:10" x14ac:dyDescent="0.45">
      <c r="A144" t="s">
        <v>171</v>
      </c>
      <c r="B144" t="s">
        <v>17</v>
      </c>
      <c r="C144" t="s">
        <v>50</v>
      </c>
      <c r="D144" t="s">
        <v>42</v>
      </c>
      <c r="E144" t="s">
        <v>24</v>
      </c>
      <c r="F144" t="s">
        <v>20</v>
      </c>
      <c r="G144" s="7">
        <v>45069</v>
      </c>
      <c r="H144">
        <v>129</v>
      </c>
      <c r="I144">
        <v>131.38</v>
      </c>
      <c r="J144">
        <v>298.99</v>
      </c>
    </row>
    <row r="145" spans="1:10" x14ac:dyDescent="0.45">
      <c r="A145" t="s">
        <v>172</v>
      </c>
      <c r="B145" t="s">
        <v>17</v>
      </c>
      <c r="C145" t="s">
        <v>12</v>
      </c>
      <c r="D145" t="s">
        <v>13</v>
      </c>
      <c r="E145" t="s">
        <v>14</v>
      </c>
      <c r="F145" t="s">
        <v>28</v>
      </c>
      <c r="G145" s="7">
        <v>45070</v>
      </c>
      <c r="H145">
        <v>219</v>
      </c>
      <c r="I145">
        <v>332.51</v>
      </c>
      <c r="J145">
        <v>264.3</v>
      </c>
    </row>
    <row r="146" spans="1:10" x14ac:dyDescent="0.45">
      <c r="A146" t="s">
        <v>173</v>
      </c>
      <c r="B146" t="s">
        <v>17</v>
      </c>
      <c r="C146" t="s">
        <v>12</v>
      </c>
      <c r="D146" t="s">
        <v>13</v>
      </c>
      <c r="E146" t="s">
        <v>24</v>
      </c>
      <c r="F146" t="s">
        <v>28</v>
      </c>
      <c r="G146" s="7">
        <v>45071</v>
      </c>
      <c r="H146">
        <v>315</v>
      </c>
      <c r="I146">
        <v>489.42</v>
      </c>
      <c r="J146">
        <v>321.25</v>
      </c>
    </row>
    <row r="147" spans="1:10" x14ac:dyDescent="0.45">
      <c r="A147" t="s">
        <v>174</v>
      </c>
      <c r="B147" t="s">
        <v>11</v>
      </c>
      <c r="C147" t="s">
        <v>12</v>
      </c>
      <c r="D147" t="s">
        <v>27</v>
      </c>
      <c r="E147" t="s">
        <v>14</v>
      </c>
      <c r="F147" t="s">
        <v>28</v>
      </c>
      <c r="G147" s="7">
        <v>45072</v>
      </c>
      <c r="H147">
        <v>279</v>
      </c>
      <c r="I147">
        <v>190.28</v>
      </c>
      <c r="J147">
        <v>43.94</v>
      </c>
    </row>
    <row r="148" spans="1:10" x14ac:dyDescent="0.45">
      <c r="A148" t="s">
        <v>175</v>
      </c>
      <c r="B148" t="s">
        <v>11</v>
      </c>
      <c r="C148" t="s">
        <v>50</v>
      </c>
      <c r="D148" t="s">
        <v>23</v>
      </c>
      <c r="E148" t="s">
        <v>24</v>
      </c>
      <c r="F148" t="s">
        <v>20</v>
      </c>
      <c r="G148" s="7">
        <v>45073</v>
      </c>
      <c r="H148">
        <v>201</v>
      </c>
      <c r="I148">
        <v>13.67</v>
      </c>
      <c r="J148">
        <v>16.16</v>
      </c>
    </row>
    <row r="149" spans="1:10" x14ac:dyDescent="0.45">
      <c r="A149" t="s">
        <v>176</v>
      </c>
      <c r="B149" t="s">
        <v>11</v>
      </c>
      <c r="C149" t="s">
        <v>12</v>
      </c>
      <c r="D149" t="s">
        <v>23</v>
      </c>
      <c r="E149" t="s">
        <v>14</v>
      </c>
      <c r="F149" t="s">
        <v>15</v>
      </c>
      <c r="G149" s="7">
        <v>45074</v>
      </c>
      <c r="H149">
        <v>184</v>
      </c>
      <c r="I149">
        <v>125.85</v>
      </c>
      <c r="J149">
        <v>204.41</v>
      </c>
    </row>
    <row r="150" spans="1:10" x14ac:dyDescent="0.45">
      <c r="A150" t="s">
        <v>177</v>
      </c>
      <c r="B150" t="s">
        <v>22</v>
      </c>
      <c r="C150" t="s">
        <v>50</v>
      </c>
      <c r="D150" t="s">
        <v>19</v>
      </c>
      <c r="E150" t="s">
        <v>24</v>
      </c>
      <c r="F150" t="s">
        <v>20</v>
      </c>
      <c r="G150" s="7">
        <v>45075</v>
      </c>
      <c r="H150">
        <v>294</v>
      </c>
      <c r="I150">
        <v>416.28</v>
      </c>
      <c r="J150">
        <v>156.26</v>
      </c>
    </row>
    <row r="151" spans="1:10" x14ac:dyDescent="0.45">
      <c r="A151" t="s">
        <v>178</v>
      </c>
      <c r="B151" t="s">
        <v>17</v>
      </c>
      <c r="C151" t="s">
        <v>12</v>
      </c>
      <c r="D151" t="s">
        <v>27</v>
      </c>
      <c r="E151" t="s">
        <v>14</v>
      </c>
      <c r="F151" t="s">
        <v>20</v>
      </c>
      <c r="G151" s="7">
        <v>45076</v>
      </c>
      <c r="H151">
        <v>213</v>
      </c>
      <c r="I151">
        <v>432.98</v>
      </c>
      <c r="J151">
        <v>185.85</v>
      </c>
    </row>
    <row r="152" spans="1:10" x14ac:dyDescent="0.45">
      <c r="A152" t="s">
        <v>179</v>
      </c>
      <c r="B152" t="s">
        <v>11</v>
      </c>
      <c r="C152" t="s">
        <v>31</v>
      </c>
      <c r="D152" t="s">
        <v>27</v>
      </c>
      <c r="E152" t="s">
        <v>24</v>
      </c>
      <c r="F152" t="s">
        <v>15</v>
      </c>
      <c r="G152" s="7">
        <v>45077</v>
      </c>
      <c r="H152">
        <v>173</v>
      </c>
      <c r="I152">
        <v>385.42</v>
      </c>
      <c r="J152">
        <v>396.65</v>
      </c>
    </row>
    <row r="153" spans="1:10" x14ac:dyDescent="0.45">
      <c r="A153" t="s">
        <v>180</v>
      </c>
      <c r="B153" t="s">
        <v>11</v>
      </c>
      <c r="C153" t="s">
        <v>12</v>
      </c>
      <c r="D153" t="s">
        <v>27</v>
      </c>
      <c r="E153" t="s">
        <v>14</v>
      </c>
      <c r="F153" t="s">
        <v>15</v>
      </c>
      <c r="G153" s="7">
        <v>45078</v>
      </c>
      <c r="H153">
        <v>260</v>
      </c>
      <c r="I153">
        <v>60.99</v>
      </c>
      <c r="J153">
        <v>388.36</v>
      </c>
    </row>
    <row r="154" spans="1:10" x14ac:dyDescent="0.45">
      <c r="A154" t="s">
        <v>181</v>
      </c>
      <c r="B154" t="s">
        <v>22</v>
      </c>
      <c r="C154" t="s">
        <v>50</v>
      </c>
      <c r="D154" t="s">
        <v>27</v>
      </c>
      <c r="E154" t="s">
        <v>24</v>
      </c>
      <c r="F154" t="s">
        <v>15</v>
      </c>
      <c r="G154" s="7">
        <v>45079</v>
      </c>
      <c r="H154">
        <v>236</v>
      </c>
      <c r="I154">
        <v>398.78</v>
      </c>
      <c r="J154">
        <v>377.04</v>
      </c>
    </row>
    <row r="155" spans="1:10" x14ac:dyDescent="0.45">
      <c r="A155" t="s">
        <v>182</v>
      </c>
      <c r="B155" t="s">
        <v>11</v>
      </c>
      <c r="C155" t="s">
        <v>26</v>
      </c>
      <c r="D155" t="s">
        <v>23</v>
      </c>
      <c r="E155" t="s">
        <v>14</v>
      </c>
      <c r="F155" t="s">
        <v>28</v>
      </c>
      <c r="G155" s="7">
        <v>45080</v>
      </c>
      <c r="H155">
        <v>445</v>
      </c>
      <c r="I155">
        <v>459.75</v>
      </c>
      <c r="J155">
        <v>313.97000000000003</v>
      </c>
    </row>
    <row r="156" spans="1:10" x14ac:dyDescent="0.45">
      <c r="A156" t="s">
        <v>183</v>
      </c>
      <c r="B156" t="s">
        <v>22</v>
      </c>
      <c r="C156" t="s">
        <v>12</v>
      </c>
      <c r="D156" t="s">
        <v>23</v>
      </c>
      <c r="E156" t="s">
        <v>24</v>
      </c>
      <c r="F156" t="s">
        <v>15</v>
      </c>
      <c r="G156" s="7">
        <v>45081</v>
      </c>
      <c r="H156">
        <v>390</v>
      </c>
      <c r="I156">
        <v>302.3</v>
      </c>
      <c r="J156">
        <v>143.22999999999999</v>
      </c>
    </row>
    <row r="157" spans="1:10" x14ac:dyDescent="0.45">
      <c r="A157" t="s">
        <v>184</v>
      </c>
      <c r="B157" t="s">
        <v>48</v>
      </c>
      <c r="C157" t="s">
        <v>26</v>
      </c>
      <c r="D157" t="s">
        <v>27</v>
      </c>
      <c r="E157" t="s">
        <v>14</v>
      </c>
      <c r="F157" t="s">
        <v>20</v>
      </c>
      <c r="G157" s="7">
        <v>45082</v>
      </c>
      <c r="H157">
        <v>469</v>
      </c>
      <c r="I157">
        <v>470.73</v>
      </c>
      <c r="J157">
        <v>166.03</v>
      </c>
    </row>
    <row r="158" spans="1:10" x14ac:dyDescent="0.45">
      <c r="A158" t="s">
        <v>185</v>
      </c>
      <c r="B158" t="s">
        <v>11</v>
      </c>
      <c r="C158" t="s">
        <v>31</v>
      </c>
      <c r="D158" t="s">
        <v>19</v>
      </c>
      <c r="E158" t="s">
        <v>14</v>
      </c>
      <c r="F158" t="s">
        <v>15</v>
      </c>
      <c r="G158" s="7">
        <v>45083</v>
      </c>
      <c r="H158">
        <v>16</v>
      </c>
      <c r="J158">
        <v>220.75</v>
      </c>
    </row>
    <row r="159" spans="1:10" x14ac:dyDescent="0.45">
      <c r="A159" t="s">
        <v>186</v>
      </c>
      <c r="B159" t="s">
        <v>48</v>
      </c>
      <c r="C159" t="s">
        <v>18</v>
      </c>
      <c r="D159" t="s">
        <v>42</v>
      </c>
      <c r="E159" t="s">
        <v>24</v>
      </c>
      <c r="F159" t="s">
        <v>20</v>
      </c>
      <c r="G159" s="7">
        <v>45084</v>
      </c>
      <c r="H159">
        <v>38</v>
      </c>
      <c r="I159">
        <v>335.15</v>
      </c>
      <c r="J159">
        <v>332.55</v>
      </c>
    </row>
    <row r="160" spans="1:10" x14ac:dyDescent="0.45">
      <c r="A160" t="s">
        <v>187</v>
      </c>
      <c r="B160" t="s">
        <v>22</v>
      </c>
      <c r="C160" t="s">
        <v>31</v>
      </c>
      <c r="D160" t="s">
        <v>13</v>
      </c>
      <c r="E160" t="s">
        <v>24</v>
      </c>
      <c r="F160" t="s">
        <v>28</v>
      </c>
      <c r="G160" s="7">
        <v>45085</v>
      </c>
      <c r="H160">
        <v>404</v>
      </c>
      <c r="I160">
        <v>290.70999999999998</v>
      </c>
      <c r="J160">
        <v>29.35</v>
      </c>
    </row>
    <row r="161" spans="1:10" x14ac:dyDescent="0.45">
      <c r="A161" t="s">
        <v>188</v>
      </c>
      <c r="B161" t="s">
        <v>17</v>
      </c>
      <c r="C161" t="s">
        <v>12</v>
      </c>
      <c r="D161" t="s">
        <v>19</v>
      </c>
      <c r="E161" t="s">
        <v>14</v>
      </c>
      <c r="F161" t="s">
        <v>20</v>
      </c>
      <c r="G161" s="7">
        <v>45086</v>
      </c>
      <c r="H161">
        <v>42</v>
      </c>
      <c r="I161">
        <v>177.54</v>
      </c>
      <c r="J161">
        <v>170.87</v>
      </c>
    </row>
    <row r="162" spans="1:10" x14ac:dyDescent="0.45">
      <c r="A162" t="s">
        <v>189</v>
      </c>
      <c r="B162" t="s">
        <v>11</v>
      </c>
      <c r="C162" t="s">
        <v>26</v>
      </c>
      <c r="D162" t="s">
        <v>27</v>
      </c>
      <c r="E162" t="s">
        <v>24</v>
      </c>
      <c r="F162" t="s">
        <v>20</v>
      </c>
      <c r="G162" s="7">
        <v>45087</v>
      </c>
      <c r="H162">
        <v>143</v>
      </c>
      <c r="I162">
        <v>83.85</v>
      </c>
      <c r="J162">
        <v>34.880000000000003</v>
      </c>
    </row>
    <row r="163" spans="1:10" x14ac:dyDescent="0.45">
      <c r="A163" t="s">
        <v>190</v>
      </c>
      <c r="B163" t="s">
        <v>22</v>
      </c>
      <c r="C163" t="s">
        <v>26</v>
      </c>
      <c r="D163" t="s">
        <v>23</v>
      </c>
      <c r="E163" t="s">
        <v>14</v>
      </c>
      <c r="F163" t="s">
        <v>15</v>
      </c>
      <c r="G163" s="7">
        <v>45088</v>
      </c>
      <c r="H163">
        <v>376</v>
      </c>
      <c r="I163">
        <v>304.45</v>
      </c>
      <c r="J163">
        <v>206.83</v>
      </c>
    </row>
    <row r="164" spans="1:10" x14ac:dyDescent="0.45">
      <c r="A164" t="s">
        <v>191</v>
      </c>
      <c r="B164" t="s">
        <v>17</v>
      </c>
      <c r="C164" t="s">
        <v>50</v>
      </c>
      <c r="D164" t="s">
        <v>42</v>
      </c>
      <c r="E164" t="s">
        <v>14</v>
      </c>
      <c r="F164" t="s">
        <v>15</v>
      </c>
      <c r="G164" s="7">
        <v>45089</v>
      </c>
      <c r="H164">
        <v>88</v>
      </c>
      <c r="I164">
        <v>162.47</v>
      </c>
      <c r="J164">
        <v>359.76</v>
      </c>
    </row>
    <row r="165" spans="1:10" x14ac:dyDescent="0.45">
      <c r="A165" t="s">
        <v>192</v>
      </c>
      <c r="B165" t="s">
        <v>17</v>
      </c>
      <c r="C165" t="s">
        <v>26</v>
      </c>
      <c r="D165" t="s">
        <v>13</v>
      </c>
      <c r="E165" t="s">
        <v>14</v>
      </c>
      <c r="F165" t="s">
        <v>20</v>
      </c>
      <c r="G165" s="7">
        <v>45090</v>
      </c>
      <c r="H165">
        <v>425</v>
      </c>
      <c r="I165">
        <v>433.89</v>
      </c>
      <c r="J165">
        <v>313.43</v>
      </c>
    </row>
    <row r="166" spans="1:10" x14ac:dyDescent="0.45">
      <c r="A166" t="s">
        <v>193</v>
      </c>
      <c r="B166" t="s">
        <v>48</v>
      </c>
      <c r="C166" t="s">
        <v>50</v>
      </c>
      <c r="D166" t="s">
        <v>13</v>
      </c>
      <c r="E166" t="s">
        <v>24</v>
      </c>
      <c r="F166" t="s">
        <v>15</v>
      </c>
      <c r="G166" s="7">
        <v>45091</v>
      </c>
      <c r="H166">
        <v>444</v>
      </c>
      <c r="I166">
        <v>496.7</v>
      </c>
      <c r="J166">
        <v>92.68</v>
      </c>
    </row>
    <row r="167" spans="1:10" x14ac:dyDescent="0.45">
      <c r="A167" t="s">
        <v>194</v>
      </c>
      <c r="B167" t="s">
        <v>22</v>
      </c>
      <c r="C167" t="s">
        <v>18</v>
      </c>
      <c r="D167" t="s">
        <v>19</v>
      </c>
      <c r="E167" t="s">
        <v>14</v>
      </c>
      <c r="F167" t="s">
        <v>28</v>
      </c>
      <c r="G167" s="7">
        <v>45092</v>
      </c>
      <c r="H167">
        <v>468</v>
      </c>
      <c r="I167">
        <v>377.45</v>
      </c>
      <c r="J167">
        <v>390.44</v>
      </c>
    </row>
    <row r="168" spans="1:10" x14ac:dyDescent="0.45">
      <c r="A168" t="s">
        <v>195</v>
      </c>
      <c r="B168" t="s">
        <v>17</v>
      </c>
      <c r="C168" t="s">
        <v>12</v>
      </c>
      <c r="D168" t="s">
        <v>27</v>
      </c>
      <c r="E168" t="s">
        <v>14</v>
      </c>
      <c r="F168" t="s">
        <v>28</v>
      </c>
      <c r="G168" s="7">
        <v>45093</v>
      </c>
      <c r="H168">
        <v>67</v>
      </c>
      <c r="I168">
        <v>49.79</v>
      </c>
      <c r="J168">
        <v>267.61</v>
      </c>
    </row>
    <row r="169" spans="1:10" x14ac:dyDescent="0.45">
      <c r="A169" t="s">
        <v>196</v>
      </c>
      <c r="B169" t="s">
        <v>11</v>
      </c>
      <c r="C169" t="s">
        <v>50</v>
      </c>
      <c r="D169" t="s">
        <v>42</v>
      </c>
      <c r="E169" t="s">
        <v>24</v>
      </c>
      <c r="F169" t="s">
        <v>15</v>
      </c>
      <c r="G169" s="7">
        <v>45094</v>
      </c>
      <c r="H169">
        <v>480</v>
      </c>
      <c r="I169">
        <v>147.9</v>
      </c>
      <c r="J169">
        <v>6.15</v>
      </c>
    </row>
    <row r="170" spans="1:10" x14ac:dyDescent="0.45">
      <c r="A170" t="s">
        <v>197</v>
      </c>
      <c r="B170" t="s">
        <v>11</v>
      </c>
      <c r="C170" t="s">
        <v>18</v>
      </c>
      <c r="D170" t="s">
        <v>27</v>
      </c>
      <c r="E170" t="s">
        <v>24</v>
      </c>
      <c r="F170" t="s">
        <v>28</v>
      </c>
      <c r="G170" s="7">
        <v>45095</v>
      </c>
      <c r="H170">
        <v>35</v>
      </c>
      <c r="I170">
        <v>59.01</v>
      </c>
      <c r="J170">
        <v>103.65</v>
      </c>
    </row>
    <row r="171" spans="1:10" x14ac:dyDescent="0.45">
      <c r="A171" t="s">
        <v>198</v>
      </c>
      <c r="B171" t="s">
        <v>48</v>
      </c>
      <c r="C171" t="s">
        <v>26</v>
      </c>
      <c r="D171" t="s">
        <v>42</v>
      </c>
      <c r="E171" t="s">
        <v>24</v>
      </c>
      <c r="F171" t="s">
        <v>15</v>
      </c>
      <c r="G171" s="7">
        <v>45096</v>
      </c>
      <c r="H171">
        <v>491</v>
      </c>
      <c r="I171">
        <v>327</v>
      </c>
      <c r="J171">
        <v>105.76</v>
      </c>
    </row>
    <row r="172" spans="1:10" x14ac:dyDescent="0.45">
      <c r="A172" t="s">
        <v>199</v>
      </c>
      <c r="B172" t="s">
        <v>17</v>
      </c>
      <c r="C172" t="s">
        <v>26</v>
      </c>
      <c r="D172" t="s">
        <v>19</v>
      </c>
      <c r="E172" t="s">
        <v>24</v>
      </c>
      <c r="F172" t="s">
        <v>20</v>
      </c>
      <c r="G172" s="7">
        <v>45097</v>
      </c>
      <c r="H172">
        <v>439</v>
      </c>
      <c r="I172">
        <v>383.77</v>
      </c>
      <c r="J172">
        <v>29.56</v>
      </c>
    </row>
    <row r="173" spans="1:10" x14ac:dyDescent="0.45">
      <c r="A173" t="s">
        <v>200</v>
      </c>
      <c r="B173" t="s">
        <v>22</v>
      </c>
      <c r="C173" t="s">
        <v>18</v>
      </c>
      <c r="D173" t="s">
        <v>19</v>
      </c>
      <c r="E173" t="s">
        <v>14</v>
      </c>
      <c r="F173" t="s">
        <v>20</v>
      </c>
      <c r="G173" s="7">
        <v>45098</v>
      </c>
      <c r="H173">
        <v>235</v>
      </c>
      <c r="I173">
        <v>463.21</v>
      </c>
      <c r="J173">
        <v>384.01</v>
      </c>
    </row>
    <row r="174" spans="1:10" x14ac:dyDescent="0.45">
      <c r="A174" t="s">
        <v>201</v>
      </c>
      <c r="B174" t="s">
        <v>11</v>
      </c>
      <c r="C174" t="s">
        <v>26</v>
      </c>
      <c r="D174" t="s">
        <v>13</v>
      </c>
      <c r="E174" t="s">
        <v>14</v>
      </c>
      <c r="F174" t="s">
        <v>28</v>
      </c>
      <c r="G174" s="7">
        <v>45099</v>
      </c>
      <c r="H174">
        <v>294</v>
      </c>
      <c r="I174">
        <v>221.9</v>
      </c>
      <c r="J174">
        <v>192.35</v>
      </c>
    </row>
    <row r="175" spans="1:10" x14ac:dyDescent="0.45">
      <c r="A175" t="s">
        <v>202</v>
      </c>
      <c r="B175" t="s">
        <v>17</v>
      </c>
      <c r="C175" t="s">
        <v>18</v>
      </c>
      <c r="D175" t="s">
        <v>27</v>
      </c>
      <c r="E175" t="s">
        <v>14</v>
      </c>
      <c r="F175" t="s">
        <v>15</v>
      </c>
      <c r="G175" s="7">
        <v>45100</v>
      </c>
      <c r="H175">
        <v>13</v>
      </c>
      <c r="I175">
        <v>451.18</v>
      </c>
      <c r="J175">
        <v>358.53</v>
      </c>
    </row>
    <row r="176" spans="1:10" x14ac:dyDescent="0.45">
      <c r="A176" t="s">
        <v>203</v>
      </c>
      <c r="B176" t="s">
        <v>17</v>
      </c>
      <c r="C176" t="s">
        <v>50</v>
      </c>
      <c r="D176" t="s">
        <v>13</v>
      </c>
      <c r="E176" t="s">
        <v>14</v>
      </c>
      <c r="F176" t="s">
        <v>15</v>
      </c>
      <c r="G176" s="7">
        <v>45101</v>
      </c>
      <c r="H176">
        <v>474</v>
      </c>
      <c r="I176">
        <v>439.56</v>
      </c>
      <c r="J176">
        <v>130.24</v>
      </c>
    </row>
    <row r="177" spans="1:10" x14ac:dyDescent="0.45">
      <c r="A177" t="s">
        <v>204</v>
      </c>
      <c r="B177" t="s">
        <v>48</v>
      </c>
      <c r="C177" t="s">
        <v>50</v>
      </c>
      <c r="D177" t="s">
        <v>27</v>
      </c>
      <c r="E177" t="s">
        <v>24</v>
      </c>
      <c r="F177" t="s">
        <v>28</v>
      </c>
      <c r="G177" s="7">
        <v>45102</v>
      </c>
      <c r="H177">
        <v>108</v>
      </c>
      <c r="I177">
        <v>162.01</v>
      </c>
      <c r="J177">
        <v>51.84</v>
      </c>
    </row>
    <row r="178" spans="1:10" x14ac:dyDescent="0.45">
      <c r="A178" t="s">
        <v>205</v>
      </c>
      <c r="B178" t="s">
        <v>11</v>
      </c>
      <c r="C178" t="s">
        <v>18</v>
      </c>
      <c r="D178" t="s">
        <v>13</v>
      </c>
      <c r="E178" t="s">
        <v>14</v>
      </c>
      <c r="F178" t="s">
        <v>20</v>
      </c>
      <c r="G178" s="7">
        <v>45103</v>
      </c>
      <c r="H178">
        <v>406</v>
      </c>
      <c r="I178">
        <v>435.11</v>
      </c>
      <c r="J178">
        <v>190.79</v>
      </c>
    </row>
    <row r="179" spans="1:10" x14ac:dyDescent="0.45">
      <c r="A179" t="s">
        <v>206</v>
      </c>
      <c r="B179" t="s">
        <v>11</v>
      </c>
      <c r="C179" t="s">
        <v>50</v>
      </c>
      <c r="D179" t="s">
        <v>23</v>
      </c>
      <c r="E179" t="s">
        <v>14</v>
      </c>
      <c r="F179" t="s">
        <v>28</v>
      </c>
      <c r="G179" s="7">
        <v>45104</v>
      </c>
      <c r="H179">
        <v>498</v>
      </c>
      <c r="I179">
        <v>190.96</v>
      </c>
      <c r="J179">
        <v>47.35</v>
      </c>
    </row>
    <row r="180" spans="1:10" x14ac:dyDescent="0.45">
      <c r="A180" t="s">
        <v>207</v>
      </c>
      <c r="B180" t="s">
        <v>22</v>
      </c>
      <c r="C180" t="s">
        <v>50</v>
      </c>
      <c r="D180" t="s">
        <v>23</v>
      </c>
      <c r="E180" t="s">
        <v>24</v>
      </c>
      <c r="F180" t="s">
        <v>20</v>
      </c>
      <c r="G180" s="7">
        <v>45105</v>
      </c>
      <c r="H180">
        <v>48</v>
      </c>
      <c r="I180">
        <v>151.94999999999999</v>
      </c>
      <c r="J180">
        <v>195.43</v>
      </c>
    </row>
    <row r="181" spans="1:10" x14ac:dyDescent="0.45">
      <c r="A181" t="s">
        <v>208</v>
      </c>
      <c r="B181" t="s">
        <v>11</v>
      </c>
      <c r="C181" t="s">
        <v>50</v>
      </c>
      <c r="D181" t="s">
        <v>23</v>
      </c>
      <c r="E181" t="s">
        <v>14</v>
      </c>
      <c r="F181" t="s">
        <v>15</v>
      </c>
      <c r="G181" s="7">
        <v>45106</v>
      </c>
      <c r="H181">
        <v>280</v>
      </c>
      <c r="I181">
        <v>326.29000000000002</v>
      </c>
      <c r="J181">
        <v>368.28</v>
      </c>
    </row>
    <row r="182" spans="1:10" x14ac:dyDescent="0.45">
      <c r="A182" t="s">
        <v>209</v>
      </c>
      <c r="B182" t="s">
        <v>22</v>
      </c>
      <c r="C182" t="s">
        <v>31</v>
      </c>
      <c r="D182" t="s">
        <v>23</v>
      </c>
      <c r="E182" t="s">
        <v>14</v>
      </c>
      <c r="F182" t="s">
        <v>20</v>
      </c>
      <c r="G182" s="7">
        <v>45107</v>
      </c>
      <c r="H182">
        <v>384</v>
      </c>
      <c r="I182">
        <v>167.55</v>
      </c>
      <c r="J182">
        <v>209.27</v>
      </c>
    </row>
    <row r="183" spans="1:10" x14ac:dyDescent="0.45">
      <c r="A183" t="s">
        <v>210</v>
      </c>
      <c r="B183" t="s">
        <v>11</v>
      </c>
      <c r="C183" t="s">
        <v>12</v>
      </c>
      <c r="D183" t="s">
        <v>42</v>
      </c>
      <c r="E183" t="s">
        <v>14</v>
      </c>
      <c r="F183" t="s">
        <v>28</v>
      </c>
      <c r="G183" s="7">
        <v>45108</v>
      </c>
      <c r="H183">
        <v>294</v>
      </c>
      <c r="I183">
        <v>316.95</v>
      </c>
      <c r="J183">
        <v>247.37</v>
      </c>
    </row>
    <row r="184" spans="1:10" x14ac:dyDescent="0.45">
      <c r="A184" t="s">
        <v>211</v>
      </c>
      <c r="B184" t="s">
        <v>48</v>
      </c>
      <c r="C184" t="s">
        <v>26</v>
      </c>
      <c r="D184" t="s">
        <v>23</v>
      </c>
      <c r="E184" t="s">
        <v>14</v>
      </c>
      <c r="F184" t="s">
        <v>15</v>
      </c>
      <c r="G184" s="7">
        <v>45109</v>
      </c>
      <c r="H184">
        <v>166</v>
      </c>
      <c r="I184">
        <v>306.87</v>
      </c>
      <c r="J184">
        <v>64.34</v>
      </c>
    </row>
    <row r="185" spans="1:10" x14ac:dyDescent="0.45">
      <c r="A185" t="s">
        <v>212</v>
      </c>
      <c r="B185" t="s">
        <v>11</v>
      </c>
      <c r="C185" t="s">
        <v>31</v>
      </c>
      <c r="D185" t="s">
        <v>19</v>
      </c>
      <c r="E185" t="s">
        <v>14</v>
      </c>
      <c r="F185" t="s">
        <v>28</v>
      </c>
      <c r="G185" s="7">
        <v>45110</v>
      </c>
      <c r="H185">
        <v>84</v>
      </c>
      <c r="I185">
        <v>283.89999999999998</v>
      </c>
      <c r="J185">
        <v>19.41</v>
      </c>
    </row>
    <row r="186" spans="1:10" x14ac:dyDescent="0.45">
      <c r="A186" t="s">
        <v>213</v>
      </c>
      <c r="B186" t="s">
        <v>22</v>
      </c>
      <c r="C186" t="s">
        <v>50</v>
      </c>
      <c r="D186" t="s">
        <v>19</v>
      </c>
      <c r="E186" t="s">
        <v>14</v>
      </c>
      <c r="F186" t="s">
        <v>28</v>
      </c>
      <c r="G186" s="7">
        <v>45111</v>
      </c>
      <c r="H186">
        <v>381</v>
      </c>
      <c r="I186">
        <v>193.31</v>
      </c>
      <c r="J186">
        <v>46.1</v>
      </c>
    </row>
    <row r="187" spans="1:10" x14ac:dyDescent="0.45">
      <c r="A187" t="s">
        <v>214</v>
      </c>
      <c r="B187" t="s">
        <v>22</v>
      </c>
      <c r="C187" t="s">
        <v>18</v>
      </c>
      <c r="D187" t="s">
        <v>42</v>
      </c>
      <c r="E187" t="s">
        <v>24</v>
      </c>
      <c r="F187" t="s">
        <v>20</v>
      </c>
      <c r="G187" s="7">
        <v>45112</v>
      </c>
      <c r="H187">
        <v>297</v>
      </c>
      <c r="I187">
        <v>276.51</v>
      </c>
      <c r="J187">
        <v>240.22</v>
      </c>
    </row>
    <row r="188" spans="1:10" x14ac:dyDescent="0.45">
      <c r="A188" t="s">
        <v>215</v>
      </c>
      <c r="B188" t="s">
        <v>48</v>
      </c>
      <c r="C188" t="s">
        <v>50</v>
      </c>
      <c r="D188" t="s">
        <v>23</v>
      </c>
      <c r="E188" t="s">
        <v>24</v>
      </c>
      <c r="F188" t="s">
        <v>28</v>
      </c>
      <c r="G188" s="7">
        <v>45113</v>
      </c>
      <c r="H188">
        <v>139</v>
      </c>
      <c r="I188">
        <v>300.26</v>
      </c>
      <c r="J188">
        <v>39.81</v>
      </c>
    </row>
    <row r="189" spans="1:10" x14ac:dyDescent="0.45">
      <c r="A189" t="s">
        <v>216</v>
      </c>
      <c r="B189" t="s">
        <v>11</v>
      </c>
      <c r="C189" t="s">
        <v>12</v>
      </c>
      <c r="D189" t="s">
        <v>23</v>
      </c>
      <c r="E189" t="s">
        <v>14</v>
      </c>
      <c r="F189" t="s">
        <v>20</v>
      </c>
      <c r="G189" s="7">
        <v>45114</v>
      </c>
      <c r="H189">
        <v>184</v>
      </c>
      <c r="I189">
        <v>275.12</v>
      </c>
      <c r="J189">
        <v>151.65</v>
      </c>
    </row>
    <row r="190" spans="1:10" x14ac:dyDescent="0.45">
      <c r="A190" t="s">
        <v>217</v>
      </c>
      <c r="B190" t="s">
        <v>11</v>
      </c>
      <c r="C190" t="s">
        <v>50</v>
      </c>
      <c r="D190" t="s">
        <v>23</v>
      </c>
      <c r="E190" t="s">
        <v>14</v>
      </c>
      <c r="F190" t="s">
        <v>15</v>
      </c>
      <c r="G190" s="7">
        <v>45115</v>
      </c>
      <c r="H190">
        <v>471</v>
      </c>
      <c r="I190">
        <v>224.99</v>
      </c>
      <c r="J190">
        <v>220.94</v>
      </c>
    </row>
    <row r="191" spans="1:10" x14ac:dyDescent="0.45">
      <c r="A191" t="s">
        <v>218</v>
      </c>
      <c r="B191" t="s">
        <v>48</v>
      </c>
      <c r="C191" t="s">
        <v>18</v>
      </c>
      <c r="D191" t="s">
        <v>13</v>
      </c>
      <c r="E191" t="s">
        <v>24</v>
      </c>
      <c r="F191" t="s">
        <v>20</v>
      </c>
      <c r="G191" s="7">
        <v>45116</v>
      </c>
      <c r="H191">
        <v>93</v>
      </c>
      <c r="I191">
        <v>12.26</v>
      </c>
      <c r="J191">
        <v>156.68</v>
      </c>
    </row>
    <row r="192" spans="1:10" x14ac:dyDescent="0.45">
      <c r="A192" t="s">
        <v>219</v>
      </c>
      <c r="B192" t="s">
        <v>11</v>
      </c>
      <c r="C192" t="s">
        <v>12</v>
      </c>
      <c r="D192" t="s">
        <v>27</v>
      </c>
      <c r="E192" t="s">
        <v>14</v>
      </c>
      <c r="F192" t="s">
        <v>15</v>
      </c>
      <c r="G192" s="7">
        <v>45117</v>
      </c>
      <c r="H192">
        <v>31</v>
      </c>
      <c r="I192">
        <v>295.60000000000002</v>
      </c>
      <c r="J192">
        <v>67.150000000000006</v>
      </c>
    </row>
    <row r="193" spans="1:10" x14ac:dyDescent="0.45">
      <c r="A193" t="s">
        <v>220</v>
      </c>
      <c r="B193" t="s">
        <v>11</v>
      </c>
      <c r="C193" t="s">
        <v>50</v>
      </c>
      <c r="D193" t="s">
        <v>13</v>
      </c>
      <c r="E193" t="s">
        <v>14</v>
      </c>
      <c r="F193" t="s">
        <v>20</v>
      </c>
      <c r="G193" s="7">
        <v>45118</v>
      </c>
      <c r="H193">
        <v>468</v>
      </c>
      <c r="I193">
        <v>88.38</v>
      </c>
      <c r="J193">
        <v>110.97</v>
      </c>
    </row>
    <row r="194" spans="1:10" x14ac:dyDescent="0.45">
      <c r="A194" t="s">
        <v>221</v>
      </c>
      <c r="B194" t="s">
        <v>22</v>
      </c>
      <c r="C194" t="s">
        <v>12</v>
      </c>
      <c r="D194" t="s">
        <v>27</v>
      </c>
      <c r="E194" t="s">
        <v>14</v>
      </c>
      <c r="F194" t="s">
        <v>28</v>
      </c>
      <c r="G194" s="7">
        <v>45119</v>
      </c>
      <c r="H194">
        <v>36</v>
      </c>
      <c r="I194">
        <v>323.08</v>
      </c>
      <c r="J194">
        <v>371.47</v>
      </c>
    </row>
    <row r="195" spans="1:10" x14ac:dyDescent="0.45">
      <c r="A195" t="s">
        <v>222</v>
      </c>
      <c r="B195" t="s">
        <v>11</v>
      </c>
      <c r="C195" t="s">
        <v>26</v>
      </c>
      <c r="D195" t="s">
        <v>23</v>
      </c>
      <c r="E195" t="s">
        <v>24</v>
      </c>
      <c r="F195" t="s">
        <v>20</v>
      </c>
      <c r="G195" s="7">
        <v>45120</v>
      </c>
      <c r="H195">
        <v>204</v>
      </c>
      <c r="I195">
        <v>380.88</v>
      </c>
      <c r="J195">
        <v>271.04000000000002</v>
      </c>
    </row>
    <row r="196" spans="1:10" x14ac:dyDescent="0.45">
      <c r="A196" t="s">
        <v>223</v>
      </c>
      <c r="B196" t="s">
        <v>11</v>
      </c>
      <c r="C196" t="s">
        <v>26</v>
      </c>
      <c r="D196" t="s">
        <v>23</v>
      </c>
      <c r="E196" t="s">
        <v>14</v>
      </c>
      <c r="F196" t="s">
        <v>20</v>
      </c>
      <c r="G196" s="7">
        <v>45121</v>
      </c>
      <c r="H196">
        <v>346</v>
      </c>
      <c r="I196">
        <v>252.72</v>
      </c>
      <c r="J196">
        <v>199.43</v>
      </c>
    </row>
    <row r="197" spans="1:10" x14ac:dyDescent="0.45">
      <c r="A197" t="s">
        <v>224</v>
      </c>
      <c r="B197" t="s">
        <v>48</v>
      </c>
      <c r="C197" t="s">
        <v>50</v>
      </c>
      <c r="D197" t="s">
        <v>13</v>
      </c>
      <c r="E197" t="s">
        <v>24</v>
      </c>
      <c r="F197" t="s">
        <v>15</v>
      </c>
      <c r="G197" s="7">
        <v>45122</v>
      </c>
      <c r="H197">
        <v>391</v>
      </c>
      <c r="I197">
        <v>273.47000000000003</v>
      </c>
      <c r="J197">
        <v>7.06</v>
      </c>
    </row>
    <row r="198" spans="1:10" x14ac:dyDescent="0.45">
      <c r="A198" t="s">
        <v>225</v>
      </c>
      <c r="B198" t="s">
        <v>48</v>
      </c>
      <c r="C198" t="s">
        <v>12</v>
      </c>
      <c r="D198" t="s">
        <v>13</v>
      </c>
      <c r="E198" t="s">
        <v>14</v>
      </c>
      <c r="F198" t="s">
        <v>28</v>
      </c>
      <c r="G198" s="7">
        <v>45123</v>
      </c>
      <c r="H198">
        <v>245</v>
      </c>
      <c r="I198">
        <v>475.98</v>
      </c>
      <c r="J198">
        <v>396.98</v>
      </c>
    </row>
    <row r="199" spans="1:10" x14ac:dyDescent="0.45">
      <c r="A199" t="s">
        <v>226</v>
      </c>
      <c r="B199" t="s">
        <v>17</v>
      </c>
      <c r="C199" t="s">
        <v>18</v>
      </c>
      <c r="D199" t="s">
        <v>27</v>
      </c>
      <c r="E199" t="s">
        <v>24</v>
      </c>
      <c r="F199" t="s">
        <v>20</v>
      </c>
      <c r="G199" s="7">
        <v>45124</v>
      </c>
      <c r="H199">
        <v>449</v>
      </c>
      <c r="I199">
        <v>424.35</v>
      </c>
      <c r="J199">
        <v>269.24</v>
      </c>
    </row>
    <row r="200" spans="1:10" x14ac:dyDescent="0.45">
      <c r="A200" t="s">
        <v>227</v>
      </c>
      <c r="B200" t="s">
        <v>22</v>
      </c>
      <c r="C200" t="s">
        <v>50</v>
      </c>
      <c r="D200" t="s">
        <v>19</v>
      </c>
      <c r="E200" t="s">
        <v>24</v>
      </c>
      <c r="F200" t="s">
        <v>28</v>
      </c>
      <c r="G200" s="7">
        <v>45125</v>
      </c>
      <c r="H200">
        <v>101</v>
      </c>
      <c r="I200">
        <v>457.55</v>
      </c>
      <c r="J200">
        <v>128.13999999999999</v>
      </c>
    </row>
    <row r="201" spans="1:10" x14ac:dyDescent="0.45">
      <c r="A201" t="s">
        <v>228</v>
      </c>
      <c r="B201" t="s">
        <v>11</v>
      </c>
      <c r="C201" t="s">
        <v>26</v>
      </c>
      <c r="D201" t="s">
        <v>27</v>
      </c>
      <c r="E201" t="s">
        <v>14</v>
      </c>
      <c r="F201" t="s">
        <v>20</v>
      </c>
      <c r="G201" s="7">
        <v>45126</v>
      </c>
      <c r="I201">
        <v>407.81</v>
      </c>
      <c r="J201">
        <v>351.95</v>
      </c>
    </row>
    <row r="202" spans="1:10" x14ac:dyDescent="0.45">
      <c r="A202" t="s">
        <v>229</v>
      </c>
      <c r="B202" t="s">
        <v>11</v>
      </c>
      <c r="C202" t="s">
        <v>26</v>
      </c>
      <c r="D202" t="s">
        <v>13</v>
      </c>
      <c r="E202" t="s">
        <v>24</v>
      </c>
      <c r="F202" t="s">
        <v>20</v>
      </c>
      <c r="G202" s="7">
        <v>45127</v>
      </c>
      <c r="H202">
        <v>30</v>
      </c>
      <c r="I202">
        <v>58.91</v>
      </c>
      <c r="J202">
        <v>104.86</v>
      </c>
    </row>
    <row r="203" spans="1:10" x14ac:dyDescent="0.45">
      <c r="A203" t="s">
        <v>230</v>
      </c>
      <c r="B203" t="s">
        <v>17</v>
      </c>
      <c r="C203" t="s">
        <v>50</v>
      </c>
      <c r="D203" t="s">
        <v>13</v>
      </c>
      <c r="E203" t="s">
        <v>14</v>
      </c>
      <c r="F203" t="s">
        <v>28</v>
      </c>
      <c r="G203" s="7">
        <v>45128</v>
      </c>
      <c r="H203">
        <v>312</v>
      </c>
      <c r="I203">
        <v>78.75</v>
      </c>
      <c r="J203">
        <v>218.52</v>
      </c>
    </row>
    <row r="204" spans="1:10" x14ac:dyDescent="0.45">
      <c r="A204" t="s">
        <v>231</v>
      </c>
      <c r="B204" t="s">
        <v>11</v>
      </c>
      <c r="C204" t="s">
        <v>12</v>
      </c>
      <c r="D204" t="s">
        <v>42</v>
      </c>
      <c r="E204" t="s">
        <v>24</v>
      </c>
      <c r="F204" t="s">
        <v>20</v>
      </c>
      <c r="G204" s="7">
        <v>45129</v>
      </c>
      <c r="H204">
        <v>473</v>
      </c>
      <c r="I204">
        <v>265.68</v>
      </c>
      <c r="J204">
        <v>255.16</v>
      </c>
    </row>
    <row r="205" spans="1:10" x14ac:dyDescent="0.45">
      <c r="A205" t="s">
        <v>232</v>
      </c>
      <c r="B205" t="s">
        <v>22</v>
      </c>
      <c r="C205" t="s">
        <v>26</v>
      </c>
      <c r="D205" t="s">
        <v>13</v>
      </c>
      <c r="E205" t="s">
        <v>14</v>
      </c>
      <c r="F205" t="s">
        <v>28</v>
      </c>
      <c r="G205" s="7">
        <v>45130</v>
      </c>
      <c r="H205">
        <v>366</v>
      </c>
      <c r="I205">
        <v>126.8</v>
      </c>
      <c r="J205">
        <v>89.98</v>
      </c>
    </row>
    <row r="206" spans="1:10" x14ac:dyDescent="0.45">
      <c r="A206" t="s">
        <v>233</v>
      </c>
      <c r="B206" t="s">
        <v>17</v>
      </c>
      <c r="C206" t="s">
        <v>12</v>
      </c>
      <c r="D206" t="s">
        <v>42</v>
      </c>
      <c r="E206" t="s">
        <v>14</v>
      </c>
      <c r="F206" t="s">
        <v>20</v>
      </c>
      <c r="G206" s="7">
        <v>45131</v>
      </c>
      <c r="H206">
        <v>452</v>
      </c>
      <c r="I206">
        <v>240.96</v>
      </c>
      <c r="J206">
        <v>391.4</v>
      </c>
    </row>
    <row r="207" spans="1:10" x14ac:dyDescent="0.45">
      <c r="A207" t="s">
        <v>234</v>
      </c>
      <c r="B207" t="s">
        <v>22</v>
      </c>
      <c r="C207" t="s">
        <v>26</v>
      </c>
      <c r="D207" t="s">
        <v>19</v>
      </c>
      <c r="E207" t="s">
        <v>24</v>
      </c>
      <c r="F207" t="s">
        <v>15</v>
      </c>
      <c r="G207" s="7">
        <v>45132</v>
      </c>
      <c r="H207">
        <v>93</v>
      </c>
      <c r="I207">
        <v>200.21</v>
      </c>
      <c r="J207">
        <v>299.77999999999997</v>
      </c>
    </row>
    <row r="208" spans="1:10" x14ac:dyDescent="0.45">
      <c r="A208" t="s">
        <v>235</v>
      </c>
      <c r="B208" t="s">
        <v>17</v>
      </c>
      <c r="C208" t="s">
        <v>26</v>
      </c>
      <c r="D208" t="s">
        <v>27</v>
      </c>
      <c r="E208" t="s">
        <v>14</v>
      </c>
      <c r="F208" t="s">
        <v>28</v>
      </c>
      <c r="G208" s="7">
        <v>45133</v>
      </c>
      <c r="H208">
        <v>271</v>
      </c>
      <c r="I208">
        <v>276.95999999999998</v>
      </c>
      <c r="J208">
        <v>224.01</v>
      </c>
    </row>
    <row r="209" spans="1:10" x14ac:dyDescent="0.45">
      <c r="A209" t="s">
        <v>236</v>
      </c>
      <c r="B209" t="s">
        <v>17</v>
      </c>
      <c r="C209" t="s">
        <v>31</v>
      </c>
      <c r="D209" t="s">
        <v>27</v>
      </c>
      <c r="E209" t="s">
        <v>14</v>
      </c>
      <c r="F209" t="s">
        <v>20</v>
      </c>
      <c r="G209" s="7">
        <v>45134</v>
      </c>
      <c r="H209">
        <v>156</v>
      </c>
      <c r="I209">
        <v>374.7</v>
      </c>
      <c r="J209">
        <v>73.88</v>
      </c>
    </row>
    <row r="210" spans="1:10" x14ac:dyDescent="0.45">
      <c r="A210" t="s">
        <v>237</v>
      </c>
      <c r="B210" t="s">
        <v>48</v>
      </c>
      <c r="C210" t="s">
        <v>26</v>
      </c>
      <c r="D210" t="s">
        <v>42</v>
      </c>
      <c r="E210" t="s">
        <v>24</v>
      </c>
      <c r="F210" t="s">
        <v>20</v>
      </c>
      <c r="G210" s="7">
        <v>45135</v>
      </c>
      <c r="H210">
        <v>450</v>
      </c>
      <c r="I210">
        <v>359.17</v>
      </c>
      <c r="J210">
        <v>23.44</v>
      </c>
    </row>
    <row r="211" spans="1:10" x14ac:dyDescent="0.45">
      <c r="A211" t="s">
        <v>238</v>
      </c>
      <c r="B211" t="s">
        <v>22</v>
      </c>
      <c r="C211" t="s">
        <v>18</v>
      </c>
      <c r="D211" t="s">
        <v>27</v>
      </c>
      <c r="E211" t="s">
        <v>14</v>
      </c>
      <c r="F211" t="s">
        <v>15</v>
      </c>
      <c r="G211" s="7">
        <v>45136</v>
      </c>
      <c r="H211">
        <v>462</v>
      </c>
      <c r="I211">
        <v>263.01</v>
      </c>
      <c r="J211">
        <v>129.38</v>
      </c>
    </row>
    <row r="212" spans="1:10" x14ac:dyDescent="0.45">
      <c r="A212" t="s">
        <v>239</v>
      </c>
      <c r="B212" t="s">
        <v>11</v>
      </c>
      <c r="C212" t="s">
        <v>50</v>
      </c>
      <c r="D212" t="s">
        <v>13</v>
      </c>
      <c r="E212" t="s">
        <v>14</v>
      </c>
      <c r="F212" t="s">
        <v>28</v>
      </c>
      <c r="G212" s="7">
        <v>45137</v>
      </c>
      <c r="H212">
        <v>396</v>
      </c>
      <c r="I212">
        <v>412.08</v>
      </c>
      <c r="J212">
        <v>301.77</v>
      </c>
    </row>
    <row r="213" spans="1:10" x14ac:dyDescent="0.45">
      <c r="A213" t="s">
        <v>240</v>
      </c>
      <c r="B213" t="s">
        <v>11</v>
      </c>
      <c r="C213" t="s">
        <v>50</v>
      </c>
      <c r="D213" t="s">
        <v>23</v>
      </c>
      <c r="E213" t="s">
        <v>24</v>
      </c>
      <c r="F213" t="s">
        <v>20</v>
      </c>
      <c r="G213" s="7">
        <v>45138</v>
      </c>
      <c r="H213">
        <v>266</v>
      </c>
      <c r="I213">
        <v>218.28</v>
      </c>
      <c r="J213">
        <v>109.19</v>
      </c>
    </row>
    <row r="214" spans="1:10" x14ac:dyDescent="0.45">
      <c r="A214" t="s">
        <v>241</v>
      </c>
      <c r="B214" t="s">
        <v>22</v>
      </c>
      <c r="C214" t="s">
        <v>12</v>
      </c>
      <c r="D214" t="s">
        <v>42</v>
      </c>
      <c r="E214" t="s">
        <v>24</v>
      </c>
      <c r="F214" t="s">
        <v>15</v>
      </c>
      <c r="G214" s="7">
        <v>45139</v>
      </c>
      <c r="H214">
        <v>67</v>
      </c>
      <c r="I214">
        <v>448.87</v>
      </c>
      <c r="J214">
        <v>216.74</v>
      </c>
    </row>
    <row r="215" spans="1:10" x14ac:dyDescent="0.45">
      <c r="A215" t="s">
        <v>242</v>
      </c>
      <c r="B215" t="s">
        <v>11</v>
      </c>
      <c r="C215" t="s">
        <v>26</v>
      </c>
      <c r="D215" t="s">
        <v>27</v>
      </c>
      <c r="E215" t="s">
        <v>14</v>
      </c>
      <c r="F215" t="s">
        <v>20</v>
      </c>
      <c r="G215" s="7">
        <v>45140</v>
      </c>
      <c r="H215">
        <v>389</v>
      </c>
      <c r="I215">
        <v>40.28</v>
      </c>
      <c r="J215">
        <v>291.72000000000003</v>
      </c>
    </row>
    <row r="216" spans="1:10" x14ac:dyDescent="0.45">
      <c r="A216" t="s">
        <v>243</v>
      </c>
      <c r="B216" t="s">
        <v>11</v>
      </c>
      <c r="C216" t="s">
        <v>18</v>
      </c>
      <c r="D216" t="s">
        <v>42</v>
      </c>
      <c r="E216" t="s">
        <v>14</v>
      </c>
      <c r="F216" t="s">
        <v>28</v>
      </c>
      <c r="G216" s="7">
        <v>45141</v>
      </c>
      <c r="H216">
        <v>431</v>
      </c>
      <c r="I216">
        <v>477.56</v>
      </c>
      <c r="J216">
        <v>44.96</v>
      </c>
    </row>
    <row r="217" spans="1:10" x14ac:dyDescent="0.45">
      <c r="A217" t="s">
        <v>244</v>
      </c>
      <c r="B217" t="s">
        <v>22</v>
      </c>
      <c r="C217" t="s">
        <v>12</v>
      </c>
      <c r="D217" t="s">
        <v>42</v>
      </c>
      <c r="E217" t="s">
        <v>24</v>
      </c>
      <c r="F217" t="s">
        <v>20</v>
      </c>
      <c r="G217" s="7">
        <v>45142</v>
      </c>
      <c r="H217">
        <v>24</v>
      </c>
      <c r="I217">
        <v>329.07</v>
      </c>
      <c r="J217">
        <v>274.75</v>
      </c>
    </row>
    <row r="218" spans="1:10" x14ac:dyDescent="0.45">
      <c r="A218" t="s">
        <v>245</v>
      </c>
      <c r="B218" t="s">
        <v>17</v>
      </c>
      <c r="C218" t="s">
        <v>31</v>
      </c>
      <c r="D218" t="s">
        <v>23</v>
      </c>
      <c r="E218" t="s">
        <v>24</v>
      </c>
      <c r="F218" t="s">
        <v>20</v>
      </c>
      <c r="G218" s="7">
        <v>45143</v>
      </c>
      <c r="H218">
        <v>171</v>
      </c>
      <c r="I218">
        <v>193.14</v>
      </c>
      <c r="J218">
        <v>38.56</v>
      </c>
    </row>
    <row r="219" spans="1:10" x14ac:dyDescent="0.45">
      <c r="A219" t="s">
        <v>246</v>
      </c>
      <c r="B219" t="s">
        <v>22</v>
      </c>
      <c r="C219" t="s">
        <v>12</v>
      </c>
      <c r="D219" t="s">
        <v>13</v>
      </c>
      <c r="E219" t="s">
        <v>14</v>
      </c>
      <c r="F219" t="s">
        <v>20</v>
      </c>
      <c r="G219" s="7">
        <v>45144</v>
      </c>
      <c r="H219">
        <v>454</v>
      </c>
      <c r="I219">
        <v>102.59</v>
      </c>
      <c r="J219">
        <v>386.12</v>
      </c>
    </row>
    <row r="220" spans="1:10" x14ac:dyDescent="0.45">
      <c r="A220" t="s">
        <v>247</v>
      </c>
      <c r="B220" t="s">
        <v>17</v>
      </c>
      <c r="C220" t="s">
        <v>12</v>
      </c>
      <c r="D220" t="s">
        <v>42</v>
      </c>
      <c r="E220" t="s">
        <v>24</v>
      </c>
      <c r="F220" t="s">
        <v>20</v>
      </c>
      <c r="G220" s="7">
        <v>45145</v>
      </c>
      <c r="H220">
        <v>172</v>
      </c>
      <c r="I220">
        <v>242.2</v>
      </c>
      <c r="J220">
        <v>196.38</v>
      </c>
    </row>
    <row r="221" spans="1:10" x14ac:dyDescent="0.45">
      <c r="A221" t="s">
        <v>248</v>
      </c>
      <c r="B221" t="s">
        <v>11</v>
      </c>
      <c r="C221" t="s">
        <v>26</v>
      </c>
      <c r="D221" t="s">
        <v>27</v>
      </c>
      <c r="E221" t="s">
        <v>14</v>
      </c>
      <c r="F221" t="s">
        <v>15</v>
      </c>
      <c r="G221" s="7">
        <v>45146</v>
      </c>
      <c r="H221">
        <v>329</v>
      </c>
      <c r="I221">
        <v>101.31</v>
      </c>
      <c r="J221">
        <v>61.97</v>
      </c>
    </row>
    <row r="222" spans="1:10" x14ac:dyDescent="0.45">
      <c r="A222" t="s">
        <v>249</v>
      </c>
      <c r="B222" t="s">
        <v>11</v>
      </c>
      <c r="C222" t="s">
        <v>31</v>
      </c>
      <c r="D222" t="s">
        <v>19</v>
      </c>
      <c r="E222" t="s">
        <v>14</v>
      </c>
      <c r="F222" t="s">
        <v>15</v>
      </c>
      <c r="G222" s="7">
        <v>45147</v>
      </c>
      <c r="H222">
        <v>290</v>
      </c>
      <c r="I222">
        <v>87.33</v>
      </c>
      <c r="J222">
        <v>138.27000000000001</v>
      </c>
    </row>
    <row r="223" spans="1:10" x14ac:dyDescent="0.45">
      <c r="A223" t="s">
        <v>250</v>
      </c>
      <c r="B223" t="s">
        <v>17</v>
      </c>
      <c r="C223" t="s">
        <v>12</v>
      </c>
      <c r="D223" t="s">
        <v>42</v>
      </c>
      <c r="E223" t="s">
        <v>14</v>
      </c>
      <c r="F223" t="s">
        <v>28</v>
      </c>
      <c r="G223" s="7">
        <v>45148</v>
      </c>
      <c r="H223">
        <v>289</v>
      </c>
      <c r="I223">
        <v>310.58999999999997</v>
      </c>
      <c r="J223">
        <v>166.54</v>
      </c>
    </row>
    <row r="224" spans="1:10" x14ac:dyDescent="0.45">
      <c r="A224" t="s">
        <v>251</v>
      </c>
      <c r="B224" t="s">
        <v>48</v>
      </c>
      <c r="C224" t="s">
        <v>18</v>
      </c>
      <c r="D224" t="s">
        <v>42</v>
      </c>
      <c r="E224" t="s">
        <v>14</v>
      </c>
      <c r="F224" t="s">
        <v>15</v>
      </c>
      <c r="G224" s="7">
        <v>45149</v>
      </c>
      <c r="H224">
        <v>21</v>
      </c>
      <c r="I224">
        <v>263.93</v>
      </c>
      <c r="J224">
        <v>303.76</v>
      </c>
    </row>
    <row r="225" spans="1:10" x14ac:dyDescent="0.45">
      <c r="A225" t="s">
        <v>252</v>
      </c>
      <c r="B225" t="s">
        <v>17</v>
      </c>
      <c r="C225" t="s">
        <v>18</v>
      </c>
      <c r="D225" t="s">
        <v>23</v>
      </c>
      <c r="E225" t="s">
        <v>14</v>
      </c>
      <c r="F225" t="s">
        <v>15</v>
      </c>
      <c r="G225" s="7">
        <v>45150</v>
      </c>
      <c r="H225">
        <v>283</v>
      </c>
      <c r="I225">
        <v>336.7</v>
      </c>
      <c r="J225">
        <v>297.88</v>
      </c>
    </row>
    <row r="226" spans="1:10" x14ac:dyDescent="0.45">
      <c r="A226" t="s">
        <v>253</v>
      </c>
      <c r="B226" t="s">
        <v>48</v>
      </c>
      <c r="C226" t="s">
        <v>50</v>
      </c>
      <c r="D226" t="s">
        <v>13</v>
      </c>
      <c r="E226" t="s">
        <v>24</v>
      </c>
      <c r="F226" t="s">
        <v>28</v>
      </c>
      <c r="G226" s="7">
        <v>45151</v>
      </c>
      <c r="H226">
        <v>280</v>
      </c>
      <c r="I226">
        <v>465.15</v>
      </c>
      <c r="J226">
        <v>245.55</v>
      </c>
    </row>
    <row r="227" spans="1:10" x14ac:dyDescent="0.45">
      <c r="A227" t="s">
        <v>254</v>
      </c>
      <c r="B227" t="s">
        <v>48</v>
      </c>
      <c r="C227" t="s">
        <v>31</v>
      </c>
      <c r="D227" t="s">
        <v>19</v>
      </c>
      <c r="E227" t="s">
        <v>24</v>
      </c>
      <c r="F227" t="s">
        <v>15</v>
      </c>
      <c r="G227" s="7">
        <v>45152</v>
      </c>
      <c r="H227">
        <v>217</v>
      </c>
      <c r="I227">
        <v>268.47000000000003</v>
      </c>
      <c r="J227">
        <v>44.16</v>
      </c>
    </row>
    <row r="228" spans="1:10" x14ac:dyDescent="0.45">
      <c r="A228" t="s">
        <v>255</v>
      </c>
      <c r="B228" t="s">
        <v>22</v>
      </c>
      <c r="C228" t="s">
        <v>31</v>
      </c>
      <c r="D228" t="s">
        <v>27</v>
      </c>
      <c r="E228" t="s">
        <v>24</v>
      </c>
      <c r="F228" t="s">
        <v>15</v>
      </c>
      <c r="G228" s="7">
        <v>45153</v>
      </c>
      <c r="H228">
        <v>36</v>
      </c>
      <c r="I228">
        <v>292.56</v>
      </c>
      <c r="J228">
        <v>62.32</v>
      </c>
    </row>
    <row r="229" spans="1:10" x14ac:dyDescent="0.45">
      <c r="A229" t="s">
        <v>256</v>
      </c>
      <c r="B229" t="s">
        <v>48</v>
      </c>
      <c r="C229" t="s">
        <v>50</v>
      </c>
      <c r="D229" t="s">
        <v>19</v>
      </c>
      <c r="E229" t="s">
        <v>24</v>
      </c>
      <c r="F229" t="s">
        <v>28</v>
      </c>
      <c r="G229" s="7">
        <v>45154</v>
      </c>
      <c r="I229">
        <v>49.37</v>
      </c>
      <c r="J229">
        <v>39.32</v>
      </c>
    </row>
    <row r="230" spans="1:10" x14ac:dyDescent="0.45">
      <c r="A230" t="s">
        <v>257</v>
      </c>
      <c r="B230" t="s">
        <v>22</v>
      </c>
      <c r="C230" t="s">
        <v>12</v>
      </c>
      <c r="D230" t="s">
        <v>27</v>
      </c>
      <c r="E230" t="s">
        <v>14</v>
      </c>
      <c r="F230" t="s">
        <v>28</v>
      </c>
      <c r="G230" s="7">
        <v>45155</v>
      </c>
      <c r="H230">
        <v>69</v>
      </c>
      <c r="I230">
        <v>360.23</v>
      </c>
      <c r="J230">
        <v>231.71</v>
      </c>
    </row>
    <row r="231" spans="1:10" x14ac:dyDescent="0.45">
      <c r="A231" t="s">
        <v>258</v>
      </c>
      <c r="B231" t="s">
        <v>22</v>
      </c>
      <c r="C231" t="s">
        <v>31</v>
      </c>
      <c r="D231" t="s">
        <v>13</v>
      </c>
      <c r="E231" t="s">
        <v>14</v>
      </c>
      <c r="F231" t="s">
        <v>28</v>
      </c>
      <c r="G231" s="7">
        <v>45156</v>
      </c>
      <c r="H231">
        <v>439</v>
      </c>
      <c r="I231">
        <v>202.95</v>
      </c>
      <c r="J231">
        <v>351.1</v>
      </c>
    </row>
    <row r="232" spans="1:10" x14ac:dyDescent="0.45">
      <c r="A232" t="s">
        <v>259</v>
      </c>
      <c r="B232" t="s">
        <v>48</v>
      </c>
      <c r="C232" t="s">
        <v>18</v>
      </c>
      <c r="D232" t="s">
        <v>27</v>
      </c>
      <c r="E232" t="s">
        <v>14</v>
      </c>
      <c r="F232" t="s">
        <v>20</v>
      </c>
      <c r="G232" s="7">
        <v>45157</v>
      </c>
      <c r="H232">
        <v>482</v>
      </c>
      <c r="I232">
        <v>488.48</v>
      </c>
      <c r="J232">
        <v>174.65</v>
      </c>
    </row>
    <row r="233" spans="1:10" x14ac:dyDescent="0.45">
      <c r="A233" t="s">
        <v>260</v>
      </c>
      <c r="B233" t="s">
        <v>17</v>
      </c>
      <c r="C233" t="s">
        <v>18</v>
      </c>
      <c r="D233" t="s">
        <v>23</v>
      </c>
      <c r="E233" t="s">
        <v>14</v>
      </c>
      <c r="F233" t="s">
        <v>20</v>
      </c>
      <c r="G233" s="7">
        <v>45158</v>
      </c>
      <c r="H233">
        <v>154</v>
      </c>
      <c r="I233">
        <v>412.47</v>
      </c>
      <c r="J233">
        <v>66.02</v>
      </c>
    </row>
    <row r="234" spans="1:10" x14ac:dyDescent="0.45">
      <c r="A234" t="s">
        <v>261</v>
      </c>
      <c r="B234" t="s">
        <v>17</v>
      </c>
      <c r="C234" t="s">
        <v>26</v>
      </c>
      <c r="D234" t="s">
        <v>23</v>
      </c>
      <c r="E234" t="s">
        <v>24</v>
      </c>
      <c r="F234" t="s">
        <v>28</v>
      </c>
      <c r="G234" s="7">
        <v>45159</v>
      </c>
      <c r="H234">
        <v>102</v>
      </c>
      <c r="I234">
        <v>263.63</v>
      </c>
      <c r="J234">
        <v>224.1</v>
      </c>
    </row>
    <row r="235" spans="1:10" x14ac:dyDescent="0.45">
      <c r="A235" t="s">
        <v>262</v>
      </c>
      <c r="B235" t="s">
        <v>17</v>
      </c>
      <c r="C235" t="s">
        <v>31</v>
      </c>
      <c r="D235" t="s">
        <v>23</v>
      </c>
      <c r="E235" t="s">
        <v>14</v>
      </c>
      <c r="F235" t="s">
        <v>28</v>
      </c>
      <c r="G235" s="7">
        <v>45160</v>
      </c>
      <c r="H235">
        <v>318</v>
      </c>
      <c r="I235">
        <v>66</v>
      </c>
      <c r="J235">
        <v>325.08</v>
      </c>
    </row>
    <row r="236" spans="1:10" x14ac:dyDescent="0.45">
      <c r="A236" t="s">
        <v>263</v>
      </c>
      <c r="B236" t="s">
        <v>17</v>
      </c>
      <c r="C236" t="s">
        <v>12</v>
      </c>
      <c r="D236" t="s">
        <v>23</v>
      </c>
      <c r="E236" t="s">
        <v>14</v>
      </c>
      <c r="F236" t="s">
        <v>28</v>
      </c>
      <c r="G236" s="7">
        <v>45161</v>
      </c>
      <c r="H236">
        <v>17</v>
      </c>
      <c r="I236">
        <v>430.41</v>
      </c>
      <c r="J236">
        <v>297.2</v>
      </c>
    </row>
    <row r="237" spans="1:10" x14ac:dyDescent="0.45">
      <c r="A237" t="s">
        <v>264</v>
      </c>
      <c r="B237" t="s">
        <v>17</v>
      </c>
      <c r="C237" t="s">
        <v>50</v>
      </c>
      <c r="D237" t="s">
        <v>19</v>
      </c>
      <c r="E237" t="s">
        <v>24</v>
      </c>
      <c r="F237" t="s">
        <v>20</v>
      </c>
      <c r="G237" s="7">
        <v>45162</v>
      </c>
      <c r="H237">
        <v>88</v>
      </c>
      <c r="I237">
        <v>400.89</v>
      </c>
      <c r="J237">
        <v>352.82</v>
      </c>
    </row>
    <row r="238" spans="1:10" x14ac:dyDescent="0.45">
      <c r="A238" t="s">
        <v>265</v>
      </c>
      <c r="B238" t="s">
        <v>48</v>
      </c>
      <c r="C238" t="s">
        <v>50</v>
      </c>
      <c r="D238" t="s">
        <v>13</v>
      </c>
      <c r="E238" t="s">
        <v>24</v>
      </c>
      <c r="F238" t="s">
        <v>20</v>
      </c>
      <c r="G238" s="7">
        <v>45163</v>
      </c>
      <c r="H238">
        <v>36</v>
      </c>
      <c r="I238">
        <v>96.37</v>
      </c>
      <c r="J238">
        <v>112.61</v>
      </c>
    </row>
    <row r="239" spans="1:10" x14ac:dyDescent="0.45">
      <c r="A239" t="s">
        <v>266</v>
      </c>
      <c r="B239" t="s">
        <v>48</v>
      </c>
      <c r="C239" t="s">
        <v>12</v>
      </c>
      <c r="D239" t="s">
        <v>27</v>
      </c>
      <c r="E239" t="s">
        <v>24</v>
      </c>
      <c r="F239" t="s">
        <v>15</v>
      </c>
      <c r="G239" s="7">
        <v>45164</v>
      </c>
      <c r="H239">
        <v>183</v>
      </c>
      <c r="I239">
        <v>151.16</v>
      </c>
      <c r="J239">
        <v>79.19</v>
      </c>
    </row>
    <row r="240" spans="1:10" x14ac:dyDescent="0.45">
      <c r="A240" t="s">
        <v>267</v>
      </c>
      <c r="B240" t="s">
        <v>11</v>
      </c>
      <c r="C240" t="s">
        <v>26</v>
      </c>
      <c r="D240" t="s">
        <v>27</v>
      </c>
      <c r="E240" t="s">
        <v>24</v>
      </c>
      <c r="F240" t="s">
        <v>15</v>
      </c>
      <c r="G240" s="7">
        <v>45165</v>
      </c>
      <c r="H240">
        <v>59</v>
      </c>
      <c r="I240">
        <v>397.74</v>
      </c>
      <c r="J240">
        <v>352.17</v>
      </c>
    </row>
    <row r="241" spans="1:10" x14ac:dyDescent="0.45">
      <c r="A241" t="s">
        <v>268</v>
      </c>
      <c r="B241" t="s">
        <v>17</v>
      </c>
      <c r="C241" t="s">
        <v>50</v>
      </c>
      <c r="D241" t="s">
        <v>23</v>
      </c>
      <c r="E241" t="s">
        <v>14</v>
      </c>
      <c r="F241" t="s">
        <v>28</v>
      </c>
      <c r="G241" s="7">
        <v>45166</v>
      </c>
      <c r="H241">
        <v>208</v>
      </c>
      <c r="I241">
        <v>96.69</v>
      </c>
      <c r="J241">
        <v>263.70999999999998</v>
      </c>
    </row>
    <row r="242" spans="1:10" x14ac:dyDescent="0.45">
      <c r="A242" t="s">
        <v>269</v>
      </c>
      <c r="B242" t="s">
        <v>48</v>
      </c>
      <c r="C242" t="s">
        <v>31</v>
      </c>
      <c r="D242" t="s">
        <v>23</v>
      </c>
      <c r="E242" t="s">
        <v>14</v>
      </c>
      <c r="F242" t="s">
        <v>20</v>
      </c>
      <c r="G242" s="7">
        <v>45167</v>
      </c>
      <c r="H242">
        <v>396</v>
      </c>
      <c r="I242">
        <v>459.29</v>
      </c>
      <c r="J242">
        <v>125.75</v>
      </c>
    </row>
    <row r="243" spans="1:10" x14ac:dyDescent="0.45">
      <c r="A243" t="s">
        <v>270</v>
      </c>
      <c r="B243" t="s">
        <v>11</v>
      </c>
      <c r="C243" t="s">
        <v>26</v>
      </c>
      <c r="D243" t="s">
        <v>42</v>
      </c>
      <c r="E243" t="s">
        <v>24</v>
      </c>
      <c r="F243" t="s">
        <v>20</v>
      </c>
      <c r="G243" s="7">
        <v>45168</v>
      </c>
      <c r="H243">
        <v>358</v>
      </c>
      <c r="I243">
        <v>215.14</v>
      </c>
      <c r="J243">
        <v>297.45</v>
      </c>
    </row>
    <row r="244" spans="1:10" x14ac:dyDescent="0.45">
      <c r="A244" t="s">
        <v>271</v>
      </c>
      <c r="B244" t="s">
        <v>17</v>
      </c>
      <c r="C244" t="s">
        <v>31</v>
      </c>
      <c r="D244" t="s">
        <v>13</v>
      </c>
      <c r="E244" t="s">
        <v>14</v>
      </c>
      <c r="F244" t="s">
        <v>20</v>
      </c>
      <c r="G244" s="7">
        <v>45169</v>
      </c>
      <c r="H244">
        <v>457</v>
      </c>
      <c r="I244">
        <v>48.08</v>
      </c>
      <c r="J244">
        <v>326.42</v>
      </c>
    </row>
    <row r="245" spans="1:10" x14ac:dyDescent="0.45">
      <c r="A245" t="s">
        <v>272</v>
      </c>
      <c r="B245" t="s">
        <v>22</v>
      </c>
      <c r="C245" t="s">
        <v>18</v>
      </c>
      <c r="D245" t="s">
        <v>19</v>
      </c>
      <c r="E245" t="s">
        <v>14</v>
      </c>
      <c r="F245" t="s">
        <v>28</v>
      </c>
      <c r="G245" s="7">
        <v>45170</v>
      </c>
      <c r="H245">
        <v>437</v>
      </c>
      <c r="I245">
        <v>408.8</v>
      </c>
      <c r="J245">
        <v>246.76</v>
      </c>
    </row>
    <row r="246" spans="1:10" x14ac:dyDescent="0.45">
      <c r="A246" t="s">
        <v>273</v>
      </c>
      <c r="B246" t="s">
        <v>11</v>
      </c>
      <c r="C246" t="s">
        <v>26</v>
      </c>
      <c r="D246" t="s">
        <v>27</v>
      </c>
      <c r="E246" t="s">
        <v>14</v>
      </c>
      <c r="F246" t="s">
        <v>15</v>
      </c>
      <c r="G246" s="7">
        <v>45171</v>
      </c>
      <c r="H246">
        <v>190</v>
      </c>
      <c r="I246">
        <v>189.89</v>
      </c>
      <c r="J246">
        <v>275.77999999999997</v>
      </c>
    </row>
    <row r="247" spans="1:10" x14ac:dyDescent="0.45">
      <c r="A247" t="s">
        <v>274</v>
      </c>
      <c r="B247" t="s">
        <v>48</v>
      </c>
      <c r="C247" t="s">
        <v>50</v>
      </c>
      <c r="D247" t="s">
        <v>42</v>
      </c>
      <c r="E247" t="s">
        <v>24</v>
      </c>
      <c r="F247" t="s">
        <v>28</v>
      </c>
      <c r="G247" s="7">
        <v>45172</v>
      </c>
      <c r="H247">
        <v>33</v>
      </c>
      <c r="I247">
        <v>265.62</v>
      </c>
      <c r="J247">
        <v>151.35</v>
      </c>
    </row>
    <row r="248" spans="1:10" x14ac:dyDescent="0.45">
      <c r="A248" t="s">
        <v>275</v>
      </c>
      <c r="B248" t="s">
        <v>22</v>
      </c>
      <c r="C248" t="s">
        <v>26</v>
      </c>
      <c r="D248" t="s">
        <v>42</v>
      </c>
      <c r="E248" t="s">
        <v>14</v>
      </c>
      <c r="F248" t="s">
        <v>15</v>
      </c>
      <c r="G248" s="7">
        <v>45173</v>
      </c>
      <c r="H248">
        <v>325</v>
      </c>
      <c r="I248">
        <v>60.59</v>
      </c>
      <c r="J248">
        <v>216.4</v>
      </c>
    </row>
    <row r="249" spans="1:10" x14ac:dyDescent="0.45">
      <c r="A249" t="s">
        <v>276</v>
      </c>
      <c r="B249" t="s">
        <v>22</v>
      </c>
      <c r="C249" t="s">
        <v>26</v>
      </c>
      <c r="D249" t="s">
        <v>27</v>
      </c>
      <c r="E249" t="s">
        <v>24</v>
      </c>
      <c r="F249" t="s">
        <v>15</v>
      </c>
      <c r="G249" s="7">
        <v>45174</v>
      </c>
      <c r="H249">
        <v>387</v>
      </c>
      <c r="I249">
        <v>6.28</v>
      </c>
      <c r="J249">
        <v>210.62</v>
      </c>
    </row>
    <row r="250" spans="1:10" x14ac:dyDescent="0.45">
      <c r="A250" t="s">
        <v>277</v>
      </c>
      <c r="B250" t="s">
        <v>22</v>
      </c>
      <c r="C250" t="s">
        <v>26</v>
      </c>
      <c r="D250" t="s">
        <v>19</v>
      </c>
      <c r="E250" t="s">
        <v>14</v>
      </c>
      <c r="F250" t="s">
        <v>28</v>
      </c>
      <c r="G250" s="7">
        <v>45175</v>
      </c>
      <c r="H250">
        <v>396</v>
      </c>
      <c r="I250">
        <v>320.8</v>
      </c>
      <c r="J250">
        <v>339.52</v>
      </c>
    </row>
    <row r="251" spans="1:10" x14ac:dyDescent="0.45">
      <c r="A251" t="s">
        <v>278</v>
      </c>
      <c r="B251" t="s">
        <v>11</v>
      </c>
      <c r="C251" t="s">
        <v>26</v>
      </c>
      <c r="D251" t="s">
        <v>42</v>
      </c>
      <c r="E251" t="s">
        <v>14</v>
      </c>
      <c r="F251" t="s">
        <v>15</v>
      </c>
      <c r="G251" s="7">
        <v>45176</v>
      </c>
      <c r="H251">
        <v>413</v>
      </c>
      <c r="I251">
        <v>260.01</v>
      </c>
      <c r="J251">
        <v>336.31</v>
      </c>
    </row>
    <row r="252" spans="1:10" x14ac:dyDescent="0.45">
      <c r="A252" t="s">
        <v>279</v>
      </c>
      <c r="B252" t="s">
        <v>48</v>
      </c>
      <c r="C252" t="s">
        <v>31</v>
      </c>
      <c r="D252" t="s">
        <v>42</v>
      </c>
      <c r="E252" t="s">
        <v>14</v>
      </c>
      <c r="F252" t="s">
        <v>15</v>
      </c>
      <c r="G252" s="7">
        <v>45177</v>
      </c>
      <c r="I252">
        <v>298.8</v>
      </c>
      <c r="J252">
        <v>333.41</v>
      </c>
    </row>
    <row r="253" spans="1:10" x14ac:dyDescent="0.45">
      <c r="A253" t="s">
        <v>280</v>
      </c>
      <c r="B253" t="s">
        <v>22</v>
      </c>
      <c r="C253" t="s">
        <v>18</v>
      </c>
      <c r="D253" t="s">
        <v>13</v>
      </c>
      <c r="E253" t="s">
        <v>24</v>
      </c>
      <c r="F253" t="s">
        <v>20</v>
      </c>
      <c r="G253" s="7">
        <v>45178</v>
      </c>
      <c r="H253">
        <v>24</v>
      </c>
      <c r="I253">
        <v>397.9</v>
      </c>
      <c r="J253">
        <v>6.39</v>
      </c>
    </row>
    <row r="254" spans="1:10" x14ac:dyDescent="0.45">
      <c r="A254" t="s">
        <v>281</v>
      </c>
      <c r="B254" t="s">
        <v>17</v>
      </c>
      <c r="C254" t="s">
        <v>12</v>
      </c>
      <c r="D254" t="s">
        <v>13</v>
      </c>
      <c r="E254" t="s">
        <v>14</v>
      </c>
      <c r="F254" t="s">
        <v>15</v>
      </c>
      <c r="G254" s="7">
        <v>45179</v>
      </c>
      <c r="H254">
        <v>162</v>
      </c>
      <c r="I254">
        <v>325.07</v>
      </c>
      <c r="J254">
        <v>300.32</v>
      </c>
    </row>
    <row r="255" spans="1:10" x14ac:dyDescent="0.45">
      <c r="A255" t="s">
        <v>282</v>
      </c>
      <c r="B255" t="s">
        <v>22</v>
      </c>
      <c r="C255" t="s">
        <v>26</v>
      </c>
      <c r="D255" t="s">
        <v>42</v>
      </c>
      <c r="E255" t="s">
        <v>24</v>
      </c>
      <c r="F255" t="s">
        <v>28</v>
      </c>
      <c r="G255" s="7">
        <v>45180</v>
      </c>
      <c r="H255">
        <v>231</v>
      </c>
      <c r="I255">
        <v>91.51</v>
      </c>
      <c r="J255">
        <v>303.95</v>
      </c>
    </row>
    <row r="256" spans="1:10" x14ac:dyDescent="0.45">
      <c r="A256" t="s">
        <v>283</v>
      </c>
      <c r="B256" t="s">
        <v>22</v>
      </c>
      <c r="C256" t="s">
        <v>50</v>
      </c>
      <c r="D256" t="s">
        <v>19</v>
      </c>
      <c r="E256" t="s">
        <v>24</v>
      </c>
      <c r="F256" t="s">
        <v>28</v>
      </c>
      <c r="G256" s="7">
        <v>45181</v>
      </c>
      <c r="H256">
        <v>215</v>
      </c>
      <c r="I256">
        <v>183.58</v>
      </c>
      <c r="J256">
        <v>271.99</v>
      </c>
    </row>
    <row r="257" spans="1:10" x14ac:dyDescent="0.45">
      <c r="A257" t="s">
        <v>284</v>
      </c>
      <c r="B257" t="s">
        <v>11</v>
      </c>
      <c r="C257" t="s">
        <v>26</v>
      </c>
      <c r="D257" t="s">
        <v>27</v>
      </c>
      <c r="E257" t="s">
        <v>24</v>
      </c>
      <c r="F257" t="s">
        <v>15</v>
      </c>
      <c r="G257" s="7">
        <v>45182</v>
      </c>
      <c r="H257">
        <v>464</v>
      </c>
      <c r="I257">
        <v>453.42</v>
      </c>
      <c r="J257">
        <v>302.99</v>
      </c>
    </row>
    <row r="258" spans="1:10" x14ac:dyDescent="0.45">
      <c r="A258" t="s">
        <v>285</v>
      </c>
      <c r="B258" t="s">
        <v>11</v>
      </c>
      <c r="C258" t="s">
        <v>50</v>
      </c>
      <c r="D258" t="s">
        <v>23</v>
      </c>
      <c r="E258" t="s">
        <v>14</v>
      </c>
      <c r="F258" t="s">
        <v>20</v>
      </c>
      <c r="G258" s="7">
        <v>45183</v>
      </c>
      <c r="H258">
        <v>282</v>
      </c>
      <c r="J258">
        <v>337.1</v>
      </c>
    </row>
    <row r="259" spans="1:10" x14ac:dyDescent="0.45">
      <c r="A259" t="s">
        <v>286</v>
      </c>
      <c r="B259" t="s">
        <v>48</v>
      </c>
      <c r="C259" t="s">
        <v>31</v>
      </c>
      <c r="D259" t="s">
        <v>42</v>
      </c>
      <c r="E259" t="s">
        <v>14</v>
      </c>
      <c r="F259" t="s">
        <v>20</v>
      </c>
      <c r="G259" s="7">
        <v>45184</v>
      </c>
      <c r="H259">
        <v>391</v>
      </c>
      <c r="I259">
        <v>280.54000000000002</v>
      </c>
      <c r="J259">
        <v>189.19</v>
      </c>
    </row>
    <row r="260" spans="1:10" x14ac:dyDescent="0.45">
      <c r="A260" t="s">
        <v>287</v>
      </c>
      <c r="B260" t="s">
        <v>17</v>
      </c>
      <c r="C260" t="s">
        <v>50</v>
      </c>
      <c r="D260" t="s">
        <v>13</v>
      </c>
      <c r="E260" t="s">
        <v>14</v>
      </c>
      <c r="F260" t="s">
        <v>15</v>
      </c>
      <c r="G260" s="7">
        <v>45185</v>
      </c>
      <c r="H260">
        <v>245</v>
      </c>
      <c r="I260">
        <v>131.54</v>
      </c>
      <c r="J260">
        <v>201.82</v>
      </c>
    </row>
    <row r="261" spans="1:10" x14ac:dyDescent="0.45">
      <c r="A261" t="s">
        <v>288</v>
      </c>
      <c r="B261" t="s">
        <v>11</v>
      </c>
      <c r="C261" t="s">
        <v>12</v>
      </c>
      <c r="D261" t="s">
        <v>27</v>
      </c>
      <c r="E261" t="s">
        <v>14</v>
      </c>
      <c r="F261" t="s">
        <v>15</v>
      </c>
      <c r="G261" s="7">
        <v>45186</v>
      </c>
      <c r="H261">
        <v>349</v>
      </c>
      <c r="I261">
        <v>154.52000000000001</v>
      </c>
      <c r="J261">
        <v>51.64</v>
      </c>
    </row>
    <row r="262" spans="1:10" x14ac:dyDescent="0.45">
      <c r="A262" t="s">
        <v>289</v>
      </c>
      <c r="B262" t="s">
        <v>22</v>
      </c>
      <c r="C262" t="s">
        <v>18</v>
      </c>
      <c r="D262" t="s">
        <v>19</v>
      </c>
      <c r="E262" t="s">
        <v>24</v>
      </c>
      <c r="F262" t="s">
        <v>28</v>
      </c>
      <c r="G262" s="7">
        <v>45187</v>
      </c>
      <c r="H262">
        <v>237</v>
      </c>
      <c r="J262">
        <v>155.38</v>
      </c>
    </row>
    <row r="263" spans="1:10" x14ac:dyDescent="0.45">
      <c r="A263" t="s">
        <v>290</v>
      </c>
      <c r="B263" t="s">
        <v>48</v>
      </c>
      <c r="C263" t="s">
        <v>50</v>
      </c>
      <c r="D263" t="s">
        <v>27</v>
      </c>
      <c r="E263" t="s">
        <v>24</v>
      </c>
      <c r="F263" t="s">
        <v>15</v>
      </c>
      <c r="G263" s="7">
        <v>45188</v>
      </c>
      <c r="H263">
        <v>18</v>
      </c>
      <c r="I263">
        <v>426.33</v>
      </c>
      <c r="J263">
        <v>258.06</v>
      </c>
    </row>
    <row r="264" spans="1:10" x14ac:dyDescent="0.45">
      <c r="A264" t="s">
        <v>291</v>
      </c>
      <c r="B264" t="s">
        <v>22</v>
      </c>
      <c r="C264" t="s">
        <v>50</v>
      </c>
      <c r="D264" t="s">
        <v>42</v>
      </c>
      <c r="E264" t="s">
        <v>24</v>
      </c>
      <c r="F264" t="s">
        <v>20</v>
      </c>
      <c r="G264" s="7">
        <v>45189</v>
      </c>
      <c r="H264">
        <v>175</v>
      </c>
      <c r="I264">
        <v>337.36</v>
      </c>
      <c r="J264">
        <v>312.60000000000002</v>
      </c>
    </row>
    <row r="265" spans="1:10" x14ac:dyDescent="0.45">
      <c r="A265" t="s">
        <v>292</v>
      </c>
      <c r="B265" t="s">
        <v>22</v>
      </c>
      <c r="C265" t="s">
        <v>18</v>
      </c>
      <c r="D265" t="s">
        <v>13</v>
      </c>
      <c r="E265" t="s">
        <v>14</v>
      </c>
      <c r="F265" t="s">
        <v>15</v>
      </c>
      <c r="G265" s="7">
        <v>45190</v>
      </c>
      <c r="H265">
        <v>441</v>
      </c>
      <c r="I265">
        <v>405.72</v>
      </c>
      <c r="J265">
        <v>88.45</v>
      </c>
    </row>
    <row r="266" spans="1:10" x14ac:dyDescent="0.45">
      <c r="A266" t="s">
        <v>293</v>
      </c>
      <c r="B266" t="s">
        <v>11</v>
      </c>
      <c r="C266" t="s">
        <v>12</v>
      </c>
      <c r="D266" t="s">
        <v>23</v>
      </c>
      <c r="E266" t="s">
        <v>24</v>
      </c>
      <c r="F266" t="s">
        <v>28</v>
      </c>
      <c r="G266" s="7">
        <v>45191</v>
      </c>
      <c r="H266">
        <v>453</v>
      </c>
      <c r="I266">
        <v>384.49</v>
      </c>
      <c r="J266">
        <v>56.85</v>
      </c>
    </row>
    <row r="267" spans="1:10" x14ac:dyDescent="0.45">
      <c r="A267" t="s">
        <v>294</v>
      </c>
      <c r="B267" t="s">
        <v>48</v>
      </c>
      <c r="C267" t="s">
        <v>26</v>
      </c>
      <c r="D267" t="s">
        <v>27</v>
      </c>
      <c r="E267" t="s">
        <v>14</v>
      </c>
      <c r="F267" t="s">
        <v>28</v>
      </c>
      <c r="G267" s="7">
        <v>45192</v>
      </c>
      <c r="H267">
        <v>328</v>
      </c>
      <c r="I267">
        <v>79.099999999999994</v>
      </c>
      <c r="J267">
        <v>265.89</v>
      </c>
    </row>
    <row r="268" spans="1:10" x14ac:dyDescent="0.45">
      <c r="A268" t="s">
        <v>295</v>
      </c>
      <c r="B268" t="s">
        <v>17</v>
      </c>
      <c r="C268" t="s">
        <v>50</v>
      </c>
      <c r="D268" t="s">
        <v>42</v>
      </c>
      <c r="E268" t="s">
        <v>24</v>
      </c>
      <c r="F268" t="s">
        <v>28</v>
      </c>
      <c r="G268" s="7">
        <v>45193</v>
      </c>
      <c r="H268">
        <v>223</v>
      </c>
      <c r="I268">
        <v>214.85</v>
      </c>
      <c r="J268">
        <v>2.75</v>
      </c>
    </row>
    <row r="269" spans="1:10" x14ac:dyDescent="0.45">
      <c r="A269" t="s">
        <v>296</v>
      </c>
      <c r="B269" t="s">
        <v>17</v>
      </c>
      <c r="C269" t="s">
        <v>18</v>
      </c>
      <c r="D269" t="s">
        <v>13</v>
      </c>
      <c r="E269" t="s">
        <v>14</v>
      </c>
      <c r="F269" t="s">
        <v>28</v>
      </c>
      <c r="G269" s="7">
        <v>45194</v>
      </c>
      <c r="H269">
        <v>126</v>
      </c>
      <c r="I269">
        <v>80.73</v>
      </c>
      <c r="J269">
        <v>72.989999999999995</v>
      </c>
    </row>
    <row r="270" spans="1:10" x14ac:dyDescent="0.45">
      <c r="A270" t="s">
        <v>297</v>
      </c>
      <c r="B270" t="s">
        <v>11</v>
      </c>
      <c r="C270" t="s">
        <v>31</v>
      </c>
      <c r="D270" t="s">
        <v>19</v>
      </c>
      <c r="E270" t="s">
        <v>14</v>
      </c>
      <c r="F270" t="s">
        <v>28</v>
      </c>
      <c r="G270" s="7">
        <v>45195</v>
      </c>
      <c r="H270">
        <v>395</v>
      </c>
      <c r="I270">
        <v>121.44</v>
      </c>
      <c r="J270">
        <v>13.57</v>
      </c>
    </row>
    <row r="271" spans="1:10" x14ac:dyDescent="0.45">
      <c r="A271" t="s">
        <v>298</v>
      </c>
      <c r="B271" t="s">
        <v>11</v>
      </c>
      <c r="C271" t="s">
        <v>18</v>
      </c>
      <c r="D271" t="s">
        <v>27</v>
      </c>
      <c r="E271" t="s">
        <v>24</v>
      </c>
      <c r="F271" t="s">
        <v>15</v>
      </c>
      <c r="G271" s="7">
        <v>45196</v>
      </c>
      <c r="H271">
        <v>353</v>
      </c>
      <c r="I271">
        <v>435.28</v>
      </c>
      <c r="J271">
        <v>68.42</v>
      </c>
    </row>
    <row r="272" spans="1:10" x14ac:dyDescent="0.45">
      <c r="A272" t="s">
        <v>299</v>
      </c>
      <c r="B272" t="s">
        <v>48</v>
      </c>
      <c r="C272" t="s">
        <v>31</v>
      </c>
      <c r="D272" t="s">
        <v>27</v>
      </c>
      <c r="E272" t="s">
        <v>24</v>
      </c>
      <c r="F272" t="s">
        <v>15</v>
      </c>
      <c r="G272" s="7">
        <v>45197</v>
      </c>
      <c r="H272">
        <v>81</v>
      </c>
      <c r="I272">
        <v>239.08</v>
      </c>
      <c r="J272">
        <v>74.17</v>
      </c>
    </row>
    <row r="273" spans="1:10" x14ac:dyDescent="0.45">
      <c r="A273" t="s">
        <v>300</v>
      </c>
      <c r="B273" t="s">
        <v>17</v>
      </c>
      <c r="C273" t="s">
        <v>12</v>
      </c>
      <c r="D273" t="s">
        <v>23</v>
      </c>
      <c r="E273" t="s">
        <v>24</v>
      </c>
      <c r="F273" t="s">
        <v>15</v>
      </c>
      <c r="G273" s="7">
        <v>45198</v>
      </c>
      <c r="H273">
        <v>404</v>
      </c>
      <c r="I273">
        <v>270</v>
      </c>
      <c r="J273">
        <v>156.29</v>
      </c>
    </row>
    <row r="274" spans="1:10" x14ac:dyDescent="0.45">
      <c r="A274" t="s">
        <v>301</v>
      </c>
      <c r="B274" t="s">
        <v>17</v>
      </c>
      <c r="C274" t="s">
        <v>26</v>
      </c>
      <c r="D274" t="s">
        <v>23</v>
      </c>
      <c r="E274" t="s">
        <v>24</v>
      </c>
      <c r="F274" t="s">
        <v>15</v>
      </c>
      <c r="G274" s="7">
        <v>45199</v>
      </c>
      <c r="H274">
        <v>73</v>
      </c>
      <c r="I274">
        <v>93.33</v>
      </c>
      <c r="J274">
        <v>162.13</v>
      </c>
    </row>
    <row r="275" spans="1:10" x14ac:dyDescent="0.45">
      <c r="A275" t="s">
        <v>302</v>
      </c>
      <c r="B275" t="s">
        <v>17</v>
      </c>
      <c r="C275" t="s">
        <v>18</v>
      </c>
      <c r="D275" t="s">
        <v>13</v>
      </c>
      <c r="E275" t="s">
        <v>14</v>
      </c>
      <c r="F275" t="s">
        <v>28</v>
      </c>
      <c r="G275" s="7">
        <v>45200</v>
      </c>
      <c r="H275">
        <v>214</v>
      </c>
      <c r="I275">
        <v>159.57</v>
      </c>
      <c r="J275">
        <v>349.96</v>
      </c>
    </row>
    <row r="276" spans="1:10" x14ac:dyDescent="0.45">
      <c r="A276" t="s">
        <v>303</v>
      </c>
      <c r="B276" t="s">
        <v>22</v>
      </c>
      <c r="C276" t="s">
        <v>50</v>
      </c>
      <c r="D276" t="s">
        <v>13</v>
      </c>
      <c r="E276" t="s">
        <v>24</v>
      </c>
      <c r="F276" t="s">
        <v>20</v>
      </c>
      <c r="G276" s="7">
        <v>45201</v>
      </c>
      <c r="H276">
        <v>218</v>
      </c>
      <c r="I276">
        <v>118.97</v>
      </c>
      <c r="J276">
        <v>205.02</v>
      </c>
    </row>
    <row r="277" spans="1:10" x14ac:dyDescent="0.45">
      <c r="A277" t="s">
        <v>304</v>
      </c>
      <c r="B277" t="s">
        <v>17</v>
      </c>
      <c r="C277" t="s">
        <v>12</v>
      </c>
      <c r="D277" t="s">
        <v>42</v>
      </c>
      <c r="E277" t="s">
        <v>24</v>
      </c>
      <c r="F277" t="s">
        <v>15</v>
      </c>
      <c r="G277" s="7">
        <v>45202</v>
      </c>
      <c r="H277">
        <v>81</v>
      </c>
      <c r="I277">
        <v>107.06</v>
      </c>
      <c r="J277">
        <v>289.92</v>
      </c>
    </row>
    <row r="278" spans="1:10" x14ac:dyDescent="0.45">
      <c r="A278" t="s">
        <v>305</v>
      </c>
      <c r="B278" t="s">
        <v>22</v>
      </c>
      <c r="C278" t="s">
        <v>18</v>
      </c>
      <c r="D278" t="s">
        <v>42</v>
      </c>
      <c r="E278" t="s">
        <v>24</v>
      </c>
      <c r="F278" t="s">
        <v>20</v>
      </c>
      <c r="G278" s="7">
        <v>45203</v>
      </c>
      <c r="H278">
        <v>286</v>
      </c>
      <c r="I278">
        <v>320.79000000000002</v>
      </c>
      <c r="J278">
        <v>43.45</v>
      </c>
    </row>
    <row r="279" spans="1:10" x14ac:dyDescent="0.45">
      <c r="A279" t="s">
        <v>306</v>
      </c>
      <c r="B279" t="s">
        <v>48</v>
      </c>
      <c r="C279" t="s">
        <v>50</v>
      </c>
      <c r="D279" t="s">
        <v>13</v>
      </c>
      <c r="E279" t="s">
        <v>14</v>
      </c>
      <c r="F279" t="s">
        <v>15</v>
      </c>
      <c r="G279" s="7">
        <v>45204</v>
      </c>
      <c r="H279">
        <v>283</v>
      </c>
      <c r="I279">
        <v>132.16</v>
      </c>
      <c r="J279">
        <v>91.72</v>
      </c>
    </row>
    <row r="280" spans="1:10" x14ac:dyDescent="0.45">
      <c r="A280" t="s">
        <v>307</v>
      </c>
      <c r="B280" t="s">
        <v>22</v>
      </c>
      <c r="C280" t="s">
        <v>18</v>
      </c>
      <c r="D280" t="s">
        <v>13</v>
      </c>
      <c r="E280" t="s">
        <v>14</v>
      </c>
      <c r="F280" t="s">
        <v>15</v>
      </c>
      <c r="G280" s="7">
        <v>45205</v>
      </c>
      <c r="H280">
        <v>487</v>
      </c>
      <c r="I280">
        <v>317.85000000000002</v>
      </c>
      <c r="J280">
        <v>281.77</v>
      </c>
    </row>
    <row r="281" spans="1:10" x14ac:dyDescent="0.45">
      <c r="A281" t="s">
        <v>308</v>
      </c>
      <c r="B281" t="s">
        <v>48</v>
      </c>
      <c r="C281" t="s">
        <v>31</v>
      </c>
      <c r="D281" t="s">
        <v>19</v>
      </c>
      <c r="E281" t="s">
        <v>24</v>
      </c>
      <c r="F281" t="s">
        <v>20</v>
      </c>
      <c r="G281" s="7">
        <v>45206</v>
      </c>
      <c r="H281">
        <v>329</v>
      </c>
      <c r="I281">
        <v>33.94</v>
      </c>
      <c r="J281">
        <v>23.02</v>
      </c>
    </row>
    <row r="282" spans="1:10" x14ac:dyDescent="0.45">
      <c r="A282" t="s">
        <v>309</v>
      </c>
      <c r="B282" t="s">
        <v>17</v>
      </c>
      <c r="C282" t="s">
        <v>18</v>
      </c>
      <c r="D282" t="s">
        <v>23</v>
      </c>
      <c r="E282" t="s">
        <v>14</v>
      </c>
      <c r="F282" t="s">
        <v>28</v>
      </c>
      <c r="G282" s="7">
        <v>45207</v>
      </c>
      <c r="H282">
        <v>347</v>
      </c>
      <c r="I282">
        <v>75.180000000000007</v>
      </c>
      <c r="J282">
        <v>195.67</v>
      </c>
    </row>
    <row r="283" spans="1:10" x14ac:dyDescent="0.45">
      <c r="A283" t="s">
        <v>310</v>
      </c>
      <c r="B283" t="s">
        <v>17</v>
      </c>
      <c r="C283" t="s">
        <v>18</v>
      </c>
      <c r="D283" t="s">
        <v>42</v>
      </c>
      <c r="E283" t="s">
        <v>24</v>
      </c>
      <c r="F283" t="s">
        <v>15</v>
      </c>
      <c r="G283" s="7">
        <v>45208</v>
      </c>
      <c r="H283">
        <v>375</v>
      </c>
      <c r="I283">
        <v>140.9</v>
      </c>
      <c r="J283">
        <v>240.55</v>
      </c>
    </row>
    <row r="284" spans="1:10" x14ac:dyDescent="0.45">
      <c r="A284" t="s">
        <v>311</v>
      </c>
      <c r="B284" t="s">
        <v>48</v>
      </c>
      <c r="C284" t="s">
        <v>18</v>
      </c>
      <c r="D284" t="s">
        <v>23</v>
      </c>
      <c r="E284" t="s">
        <v>14</v>
      </c>
      <c r="F284" t="s">
        <v>15</v>
      </c>
      <c r="G284" s="7">
        <v>45209</v>
      </c>
      <c r="H284">
        <v>104</v>
      </c>
      <c r="I284">
        <v>300.54000000000002</v>
      </c>
      <c r="J284">
        <v>241.65</v>
      </c>
    </row>
    <row r="285" spans="1:10" x14ac:dyDescent="0.45">
      <c r="A285" t="s">
        <v>312</v>
      </c>
      <c r="B285" t="s">
        <v>11</v>
      </c>
      <c r="C285" t="s">
        <v>12</v>
      </c>
      <c r="D285" t="s">
        <v>13</v>
      </c>
      <c r="E285" t="s">
        <v>14</v>
      </c>
      <c r="F285" t="s">
        <v>15</v>
      </c>
      <c r="G285" s="7">
        <v>45210</v>
      </c>
      <c r="H285">
        <v>175</v>
      </c>
      <c r="I285">
        <v>339.54</v>
      </c>
      <c r="J285">
        <v>11.13</v>
      </c>
    </row>
    <row r="286" spans="1:10" x14ac:dyDescent="0.45">
      <c r="A286" t="s">
        <v>313</v>
      </c>
      <c r="B286" t="s">
        <v>48</v>
      </c>
      <c r="C286" t="s">
        <v>18</v>
      </c>
      <c r="D286" t="s">
        <v>13</v>
      </c>
      <c r="E286" t="s">
        <v>14</v>
      </c>
      <c r="F286" t="s">
        <v>20</v>
      </c>
      <c r="G286" s="7">
        <v>45211</v>
      </c>
      <c r="H286">
        <v>41</v>
      </c>
      <c r="I286">
        <v>224.14</v>
      </c>
      <c r="J286">
        <v>130.19999999999999</v>
      </c>
    </row>
    <row r="287" spans="1:10" x14ac:dyDescent="0.45">
      <c r="A287" t="s">
        <v>314</v>
      </c>
      <c r="B287" t="s">
        <v>11</v>
      </c>
      <c r="C287" t="s">
        <v>50</v>
      </c>
      <c r="D287" t="s">
        <v>19</v>
      </c>
      <c r="E287" t="s">
        <v>14</v>
      </c>
      <c r="F287" t="s">
        <v>28</v>
      </c>
      <c r="G287" s="7">
        <v>45212</v>
      </c>
      <c r="H287">
        <v>20</v>
      </c>
      <c r="I287">
        <v>225.67</v>
      </c>
      <c r="J287">
        <v>255.32</v>
      </c>
    </row>
    <row r="288" spans="1:10" x14ac:dyDescent="0.45">
      <c r="A288" t="s">
        <v>315</v>
      </c>
      <c r="B288" t="s">
        <v>22</v>
      </c>
      <c r="C288" t="s">
        <v>31</v>
      </c>
      <c r="D288" t="s">
        <v>27</v>
      </c>
      <c r="E288" t="s">
        <v>24</v>
      </c>
      <c r="F288" t="s">
        <v>20</v>
      </c>
      <c r="G288" s="7">
        <v>45213</v>
      </c>
      <c r="H288">
        <v>310</v>
      </c>
      <c r="I288">
        <v>363.64</v>
      </c>
      <c r="J288">
        <v>61.3</v>
      </c>
    </row>
    <row r="289" spans="1:10" x14ac:dyDescent="0.45">
      <c r="A289" t="s">
        <v>316</v>
      </c>
      <c r="B289" t="s">
        <v>22</v>
      </c>
      <c r="C289" t="s">
        <v>31</v>
      </c>
      <c r="D289" t="s">
        <v>19</v>
      </c>
      <c r="E289" t="s">
        <v>24</v>
      </c>
      <c r="F289" t="s">
        <v>20</v>
      </c>
      <c r="G289" s="7">
        <v>45214</v>
      </c>
      <c r="H289">
        <v>226</v>
      </c>
      <c r="J289">
        <v>278.77999999999997</v>
      </c>
    </row>
    <row r="290" spans="1:10" x14ac:dyDescent="0.45">
      <c r="A290" t="s">
        <v>317</v>
      </c>
      <c r="B290" t="s">
        <v>22</v>
      </c>
      <c r="C290" t="s">
        <v>18</v>
      </c>
      <c r="D290" t="s">
        <v>19</v>
      </c>
      <c r="E290" t="s">
        <v>24</v>
      </c>
      <c r="F290" t="s">
        <v>28</v>
      </c>
      <c r="G290" s="7">
        <v>45215</v>
      </c>
      <c r="I290">
        <v>173.84</v>
      </c>
      <c r="J290">
        <v>298.88</v>
      </c>
    </row>
    <row r="291" spans="1:10" x14ac:dyDescent="0.45">
      <c r="A291" t="s">
        <v>318</v>
      </c>
      <c r="B291" t="s">
        <v>17</v>
      </c>
      <c r="C291" t="s">
        <v>12</v>
      </c>
      <c r="D291" t="s">
        <v>23</v>
      </c>
      <c r="E291" t="s">
        <v>14</v>
      </c>
      <c r="F291" t="s">
        <v>20</v>
      </c>
      <c r="G291" s="7">
        <v>45216</v>
      </c>
      <c r="H291">
        <v>111</v>
      </c>
      <c r="I291">
        <v>410.26</v>
      </c>
      <c r="J291">
        <v>392.82</v>
      </c>
    </row>
    <row r="292" spans="1:10" x14ac:dyDescent="0.45">
      <c r="A292" t="s">
        <v>319</v>
      </c>
      <c r="B292" t="s">
        <v>22</v>
      </c>
      <c r="C292" t="s">
        <v>12</v>
      </c>
      <c r="D292" t="s">
        <v>19</v>
      </c>
      <c r="E292" t="s">
        <v>24</v>
      </c>
      <c r="F292" t="s">
        <v>28</v>
      </c>
      <c r="G292" s="7">
        <v>45217</v>
      </c>
      <c r="H292">
        <v>434</v>
      </c>
      <c r="I292">
        <v>303.58999999999997</v>
      </c>
      <c r="J292">
        <v>85.52</v>
      </c>
    </row>
    <row r="293" spans="1:10" x14ac:dyDescent="0.45">
      <c r="A293" t="s">
        <v>320</v>
      </c>
      <c r="B293" t="s">
        <v>11</v>
      </c>
      <c r="C293" t="s">
        <v>50</v>
      </c>
      <c r="D293" t="s">
        <v>42</v>
      </c>
      <c r="E293" t="s">
        <v>24</v>
      </c>
      <c r="F293" t="s">
        <v>15</v>
      </c>
      <c r="G293" s="7">
        <v>45218</v>
      </c>
      <c r="H293">
        <v>401</v>
      </c>
      <c r="I293">
        <v>171.93</v>
      </c>
      <c r="J293">
        <v>330.4</v>
      </c>
    </row>
    <row r="294" spans="1:10" x14ac:dyDescent="0.45">
      <c r="A294" t="s">
        <v>321</v>
      </c>
      <c r="B294" t="s">
        <v>22</v>
      </c>
      <c r="C294" t="s">
        <v>18</v>
      </c>
      <c r="D294" t="s">
        <v>23</v>
      </c>
      <c r="E294" t="s">
        <v>24</v>
      </c>
      <c r="F294" t="s">
        <v>28</v>
      </c>
      <c r="G294" s="7">
        <v>45219</v>
      </c>
      <c r="H294">
        <v>276</v>
      </c>
      <c r="I294">
        <v>453.23</v>
      </c>
      <c r="J294">
        <v>209.08</v>
      </c>
    </row>
    <row r="295" spans="1:10" x14ac:dyDescent="0.45">
      <c r="A295" t="s">
        <v>322</v>
      </c>
      <c r="B295" t="s">
        <v>48</v>
      </c>
      <c r="C295" t="s">
        <v>31</v>
      </c>
      <c r="D295" t="s">
        <v>42</v>
      </c>
      <c r="E295" t="s">
        <v>14</v>
      </c>
      <c r="F295" t="s">
        <v>15</v>
      </c>
      <c r="G295" s="7">
        <v>45220</v>
      </c>
      <c r="I295">
        <v>387.45</v>
      </c>
      <c r="J295">
        <v>150.63999999999999</v>
      </c>
    </row>
    <row r="296" spans="1:10" x14ac:dyDescent="0.45">
      <c r="A296" t="s">
        <v>323</v>
      </c>
      <c r="B296" t="s">
        <v>48</v>
      </c>
      <c r="C296" t="s">
        <v>12</v>
      </c>
      <c r="D296" t="s">
        <v>27</v>
      </c>
      <c r="E296" t="s">
        <v>14</v>
      </c>
      <c r="F296" t="s">
        <v>20</v>
      </c>
      <c r="G296" s="7">
        <v>45221</v>
      </c>
      <c r="H296">
        <v>188</v>
      </c>
      <c r="I296">
        <v>136.12</v>
      </c>
      <c r="J296">
        <v>50.71</v>
      </c>
    </row>
    <row r="297" spans="1:10" x14ac:dyDescent="0.45">
      <c r="A297" t="s">
        <v>324</v>
      </c>
      <c r="B297" t="s">
        <v>17</v>
      </c>
      <c r="C297" t="s">
        <v>18</v>
      </c>
      <c r="D297" t="s">
        <v>23</v>
      </c>
      <c r="E297" t="s">
        <v>14</v>
      </c>
      <c r="F297" t="s">
        <v>20</v>
      </c>
      <c r="G297" s="7">
        <v>45222</v>
      </c>
      <c r="H297">
        <v>97</v>
      </c>
      <c r="I297">
        <v>324.42</v>
      </c>
      <c r="J297">
        <v>294.73</v>
      </c>
    </row>
    <row r="298" spans="1:10" x14ac:dyDescent="0.45">
      <c r="A298" t="s">
        <v>325</v>
      </c>
      <c r="B298" t="s">
        <v>48</v>
      </c>
      <c r="C298" t="s">
        <v>12</v>
      </c>
      <c r="D298" t="s">
        <v>27</v>
      </c>
      <c r="E298" t="s">
        <v>24</v>
      </c>
      <c r="F298" t="s">
        <v>15</v>
      </c>
      <c r="G298" s="7">
        <v>45223</v>
      </c>
      <c r="H298">
        <v>50</v>
      </c>
      <c r="I298">
        <v>299.89999999999998</v>
      </c>
      <c r="J298">
        <v>95.87</v>
      </c>
    </row>
    <row r="299" spans="1:10" x14ac:dyDescent="0.45">
      <c r="A299" t="s">
        <v>326</v>
      </c>
      <c r="B299" t="s">
        <v>11</v>
      </c>
      <c r="C299" t="s">
        <v>12</v>
      </c>
      <c r="D299" t="s">
        <v>23</v>
      </c>
      <c r="E299" t="s">
        <v>24</v>
      </c>
      <c r="F299" t="s">
        <v>20</v>
      </c>
      <c r="G299" s="7">
        <v>45224</v>
      </c>
      <c r="H299">
        <v>410</v>
      </c>
      <c r="I299">
        <v>203.59</v>
      </c>
      <c r="J299">
        <v>149.83000000000001</v>
      </c>
    </row>
    <row r="300" spans="1:10" x14ac:dyDescent="0.45">
      <c r="A300" t="s">
        <v>327</v>
      </c>
      <c r="B300" t="s">
        <v>22</v>
      </c>
      <c r="C300" t="s">
        <v>31</v>
      </c>
      <c r="D300" t="s">
        <v>13</v>
      </c>
      <c r="E300" t="s">
        <v>24</v>
      </c>
      <c r="F300" t="s">
        <v>28</v>
      </c>
      <c r="G300" s="7">
        <v>45225</v>
      </c>
      <c r="H300">
        <v>85</v>
      </c>
      <c r="I300">
        <v>186.64</v>
      </c>
      <c r="J300">
        <v>26.89</v>
      </c>
    </row>
    <row r="301" spans="1:10" x14ac:dyDescent="0.45">
      <c r="A301" t="s">
        <v>328</v>
      </c>
      <c r="B301" t="s">
        <v>17</v>
      </c>
      <c r="C301" t="s">
        <v>26</v>
      </c>
      <c r="D301" t="s">
        <v>19</v>
      </c>
      <c r="E301" t="s">
        <v>14</v>
      </c>
      <c r="F301" t="s">
        <v>15</v>
      </c>
      <c r="G301" s="7">
        <v>45226</v>
      </c>
      <c r="H301">
        <v>386</v>
      </c>
      <c r="I301">
        <v>175.06</v>
      </c>
      <c r="J301">
        <v>320.94</v>
      </c>
    </row>
    <row r="302" spans="1:10" x14ac:dyDescent="0.45">
      <c r="A302" t="s">
        <v>329</v>
      </c>
      <c r="B302" t="s">
        <v>22</v>
      </c>
      <c r="C302" t="s">
        <v>50</v>
      </c>
      <c r="D302" t="s">
        <v>13</v>
      </c>
      <c r="E302" t="s">
        <v>14</v>
      </c>
      <c r="F302" t="s">
        <v>20</v>
      </c>
      <c r="G302" s="7">
        <v>45227</v>
      </c>
      <c r="H302">
        <v>55</v>
      </c>
      <c r="I302">
        <v>310.49</v>
      </c>
      <c r="J302">
        <v>307.10000000000002</v>
      </c>
    </row>
    <row r="303" spans="1:10" x14ac:dyDescent="0.45">
      <c r="A303" t="s">
        <v>330</v>
      </c>
      <c r="B303" t="s">
        <v>22</v>
      </c>
      <c r="C303" t="s">
        <v>50</v>
      </c>
      <c r="D303" t="s">
        <v>27</v>
      </c>
      <c r="E303" t="s">
        <v>24</v>
      </c>
      <c r="F303" t="s">
        <v>15</v>
      </c>
      <c r="G303" s="7">
        <v>45228</v>
      </c>
      <c r="H303">
        <v>169</v>
      </c>
      <c r="I303">
        <v>223.99</v>
      </c>
      <c r="J303">
        <v>293.98</v>
      </c>
    </row>
    <row r="304" spans="1:10" x14ac:dyDescent="0.45">
      <c r="A304" t="s">
        <v>331</v>
      </c>
      <c r="B304" t="s">
        <v>11</v>
      </c>
      <c r="C304" t="s">
        <v>31</v>
      </c>
      <c r="D304" t="s">
        <v>19</v>
      </c>
      <c r="E304" t="s">
        <v>14</v>
      </c>
      <c r="F304" t="s">
        <v>28</v>
      </c>
      <c r="G304" s="7">
        <v>45229</v>
      </c>
      <c r="H304">
        <v>472</v>
      </c>
      <c r="I304">
        <v>416.77</v>
      </c>
      <c r="J304">
        <v>121.18</v>
      </c>
    </row>
    <row r="305" spans="1:10" x14ac:dyDescent="0.45">
      <c r="A305" t="s">
        <v>332</v>
      </c>
      <c r="B305" t="s">
        <v>48</v>
      </c>
      <c r="C305" t="s">
        <v>12</v>
      </c>
      <c r="D305" t="s">
        <v>23</v>
      </c>
      <c r="E305" t="s">
        <v>14</v>
      </c>
      <c r="F305" t="s">
        <v>28</v>
      </c>
      <c r="G305" s="7">
        <v>45230</v>
      </c>
      <c r="H305">
        <v>89</v>
      </c>
      <c r="I305">
        <v>336.45</v>
      </c>
      <c r="J305">
        <v>71.05</v>
      </c>
    </row>
    <row r="306" spans="1:10" x14ac:dyDescent="0.45">
      <c r="A306" t="s">
        <v>333</v>
      </c>
      <c r="B306" t="s">
        <v>48</v>
      </c>
      <c r="C306" t="s">
        <v>18</v>
      </c>
      <c r="D306" t="s">
        <v>19</v>
      </c>
      <c r="E306" t="s">
        <v>14</v>
      </c>
      <c r="F306" t="s">
        <v>20</v>
      </c>
      <c r="G306" s="7">
        <v>45231</v>
      </c>
      <c r="H306">
        <v>319</v>
      </c>
      <c r="I306">
        <v>39.619999999999997</v>
      </c>
      <c r="J306">
        <v>255.75</v>
      </c>
    </row>
    <row r="307" spans="1:10" x14ac:dyDescent="0.45">
      <c r="A307" t="s">
        <v>334</v>
      </c>
      <c r="B307" t="s">
        <v>22</v>
      </c>
      <c r="C307" t="s">
        <v>12</v>
      </c>
      <c r="D307" t="s">
        <v>13</v>
      </c>
      <c r="E307" t="s">
        <v>14</v>
      </c>
      <c r="F307" t="s">
        <v>28</v>
      </c>
      <c r="G307" s="7">
        <v>45232</v>
      </c>
      <c r="H307">
        <v>95</v>
      </c>
      <c r="I307">
        <v>321.88</v>
      </c>
      <c r="J307">
        <v>199.47</v>
      </c>
    </row>
    <row r="308" spans="1:10" x14ac:dyDescent="0.45">
      <c r="A308" t="s">
        <v>335</v>
      </c>
      <c r="B308" t="s">
        <v>17</v>
      </c>
      <c r="C308" t="s">
        <v>31</v>
      </c>
      <c r="D308" t="s">
        <v>13</v>
      </c>
      <c r="E308" t="s">
        <v>24</v>
      </c>
      <c r="F308" t="s">
        <v>15</v>
      </c>
      <c r="G308" s="7">
        <v>45233</v>
      </c>
      <c r="H308">
        <v>101</v>
      </c>
      <c r="I308">
        <v>139.22</v>
      </c>
      <c r="J308">
        <v>72.94</v>
      </c>
    </row>
    <row r="309" spans="1:10" x14ac:dyDescent="0.45">
      <c r="A309" t="s">
        <v>336</v>
      </c>
      <c r="B309" t="s">
        <v>48</v>
      </c>
      <c r="C309" t="s">
        <v>50</v>
      </c>
      <c r="D309" t="s">
        <v>13</v>
      </c>
      <c r="E309" t="s">
        <v>14</v>
      </c>
      <c r="F309" t="s">
        <v>28</v>
      </c>
      <c r="G309" s="7">
        <v>45234</v>
      </c>
      <c r="H309">
        <v>157</v>
      </c>
      <c r="J309">
        <v>274.99</v>
      </c>
    </row>
    <row r="310" spans="1:10" x14ac:dyDescent="0.45">
      <c r="A310" t="s">
        <v>337</v>
      </c>
      <c r="B310" t="s">
        <v>17</v>
      </c>
      <c r="C310" t="s">
        <v>12</v>
      </c>
      <c r="D310" t="s">
        <v>19</v>
      </c>
      <c r="E310" t="s">
        <v>14</v>
      </c>
      <c r="F310" t="s">
        <v>15</v>
      </c>
      <c r="G310" s="7">
        <v>45235</v>
      </c>
      <c r="H310">
        <v>170</v>
      </c>
      <c r="I310">
        <v>341.67</v>
      </c>
      <c r="J310">
        <v>396.47</v>
      </c>
    </row>
    <row r="311" spans="1:10" x14ac:dyDescent="0.45">
      <c r="A311" t="s">
        <v>338</v>
      </c>
      <c r="B311" t="s">
        <v>48</v>
      </c>
      <c r="C311" t="s">
        <v>50</v>
      </c>
      <c r="D311" t="s">
        <v>42</v>
      </c>
      <c r="E311" t="s">
        <v>14</v>
      </c>
      <c r="F311" t="s">
        <v>15</v>
      </c>
      <c r="G311" s="7">
        <v>45236</v>
      </c>
      <c r="H311">
        <v>211</v>
      </c>
      <c r="I311">
        <v>119.26</v>
      </c>
      <c r="J311">
        <v>299.39</v>
      </c>
    </row>
    <row r="312" spans="1:10" x14ac:dyDescent="0.45">
      <c r="A312" t="s">
        <v>339</v>
      </c>
      <c r="B312" t="s">
        <v>17</v>
      </c>
      <c r="C312" t="s">
        <v>18</v>
      </c>
      <c r="D312" t="s">
        <v>27</v>
      </c>
      <c r="E312" t="s">
        <v>14</v>
      </c>
      <c r="F312" t="s">
        <v>28</v>
      </c>
      <c r="G312" s="7">
        <v>45237</v>
      </c>
      <c r="H312">
        <v>433</v>
      </c>
      <c r="I312">
        <v>231.15</v>
      </c>
      <c r="J312">
        <v>296.51</v>
      </c>
    </row>
    <row r="313" spans="1:10" x14ac:dyDescent="0.45">
      <c r="A313" t="s">
        <v>340</v>
      </c>
      <c r="B313" t="s">
        <v>11</v>
      </c>
      <c r="C313" t="s">
        <v>50</v>
      </c>
      <c r="D313" t="s">
        <v>13</v>
      </c>
      <c r="E313" t="s">
        <v>24</v>
      </c>
      <c r="F313" t="s">
        <v>20</v>
      </c>
      <c r="G313" s="7">
        <v>45238</v>
      </c>
      <c r="H313">
        <v>425</v>
      </c>
      <c r="I313">
        <v>99.21</v>
      </c>
      <c r="J313">
        <v>380.22</v>
      </c>
    </row>
    <row r="314" spans="1:10" x14ac:dyDescent="0.45">
      <c r="A314" t="s">
        <v>341</v>
      </c>
      <c r="B314" t="s">
        <v>17</v>
      </c>
      <c r="C314" t="s">
        <v>50</v>
      </c>
      <c r="D314" t="s">
        <v>23</v>
      </c>
      <c r="E314" t="s">
        <v>24</v>
      </c>
      <c r="F314" t="s">
        <v>28</v>
      </c>
      <c r="G314" s="7">
        <v>45239</v>
      </c>
      <c r="H314">
        <v>251</v>
      </c>
      <c r="I314">
        <v>30.91</v>
      </c>
      <c r="J314">
        <v>82.77</v>
      </c>
    </row>
    <row r="315" spans="1:10" x14ac:dyDescent="0.45">
      <c r="A315" t="s">
        <v>342</v>
      </c>
      <c r="B315" t="s">
        <v>11</v>
      </c>
      <c r="C315" t="s">
        <v>26</v>
      </c>
      <c r="D315" t="s">
        <v>19</v>
      </c>
      <c r="E315" t="s">
        <v>14</v>
      </c>
      <c r="F315" t="s">
        <v>15</v>
      </c>
      <c r="G315" s="7">
        <v>45240</v>
      </c>
      <c r="I315">
        <v>192.35</v>
      </c>
      <c r="J315">
        <v>227.09</v>
      </c>
    </row>
    <row r="316" spans="1:10" x14ac:dyDescent="0.45">
      <c r="A316" t="s">
        <v>343</v>
      </c>
      <c r="B316" t="s">
        <v>11</v>
      </c>
      <c r="C316" t="s">
        <v>26</v>
      </c>
      <c r="D316" t="s">
        <v>13</v>
      </c>
      <c r="E316" t="s">
        <v>14</v>
      </c>
      <c r="F316" t="s">
        <v>15</v>
      </c>
      <c r="G316" s="7">
        <v>45241</v>
      </c>
      <c r="H316">
        <v>11</v>
      </c>
      <c r="I316">
        <v>184.66</v>
      </c>
      <c r="J316">
        <v>391.9</v>
      </c>
    </row>
    <row r="317" spans="1:10" x14ac:dyDescent="0.45">
      <c r="A317" t="s">
        <v>344</v>
      </c>
      <c r="B317" t="s">
        <v>17</v>
      </c>
      <c r="C317" t="s">
        <v>26</v>
      </c>
      <c r="D317" t="s">
        <v>23</v>
      </c>
      <c r="E317" t="s">
        <v>14</v>
      </c>
      <c r="F317" t="s">
        <v>28</v>
      </c>
      <c r="G317" s="7">
        <v>45242</v>
      </c>
      <c r="H317">
        <v>234</v>
      </c>
      <c r="I317">
        <v>497.76</v>
      </c>
      <c r="J317">
        <v>67.790000000000006</v>
      </c>
    </row>
    <row r="318" spans="1:10" x14ac:dyDescent="0.45">
      <c r="A318" t="s">
        <v>345</v>
      </c>
      <c r="B318" t="s">
        <v>11</v>
      </c>
      <c r="C318" t="s">
        <v>50</v>
      </c>
      <c r="D318" t="s">
        <v>23</v>
      </c>
      <c r="E318" t="s">
        <v>14</v>
      </c>
      <c r="F318" t="s">
        <v>20</v>
      </c>
      <c r="G318" s="7">
        <v>45243</v>
      </c>
      <c r="I318">
        <v>225.94</v>
      </c>
      <c r="J318">
        <v>280.7</v>
      </c>
    </row>
    <row r="319" spans="1:10" x14ac:dyDescent="0.45">
      <c r="A319" t="s">
        <v>346</v>
      </c>
      <c r="B319" t="s">
        <v>22</v>
      </c>
      <c r="C319" t="s">
        <v>31</v>
      </c>
      <c r="D319" t="s">
        <v>42</v>
      </c>
      <c r="E319" t="s">
        <v>14</v>
      </c>
      <c r="F319" t="s">
        <v>20</v>
      </c>
      <c r="G319" s="7">
        <v>45244</v>
      </c>
      <c r="H319">
        <v>242</v>
      </c>
      <c r="I319">
        <v>170.12</v>
      </c>
      <c r="J319">
        <v>235.15</v>
      </c>
    </row>
    <row r="320" spans="1:10" x14ac:dyDescent="0.45">
      <c r="A320" t="s">
        <v>347</v>
      </c>
      <c r="B320" t="s">
        <v>11</v>
      </c>
      <c r="C320" t="s">
        <v>50</v>
      </c>
      <c r="D320" t="s">
        <v>27</v>
      </c>
      <c r="E320" t="s">
        <v>14</v>
      </c>
      <c r="F320" t="s">
        <v>15</v>
      </c>
      <c r="G320" s="7">
        <v>45245</v>
      </c>
      <c r="H320">
        <v>470</v>
      </c>
      <c r="I320">
        <v>292.33999999999997</v>
      </c>
      <c r="J320">
        <v>235.42</v>
      </c>
    </row>
    <row r="321" spans="1:10" x14ac:dyDescent="0.45">
      <c r="A321" t="s">
        <v>348</v>
      </c>
      <c r="B321" t="s">
        <v>48</v>
      </c>
      <c r="C321" t="s">
        <v>31</v>
      </c>
      <c r="D321" t="s">
        <v>27</v>
      </c>
      <c r="E321" t="s">
        <v>24</v>
      </c>
      <c r="F321" t="s">
        <v>15</v>
      </c>
      <c r="G321" s="7">
        <v>45246</v>
      </c>
      <c r="H321">
        <v>423</v>
      </c>
      <c r="I321">
        <v>48.94</v>
      </c>
      <c r="J321">
        <v>279.67</v>
      </c>
    </row>
    <row r="322" spans="1:10" x14ac:dyDescent="0.45">
      <c r="A322" t="s">
        <v>349</v>
      </c>
      <c r="B322" t="s">
        <v>17</v>
      </c>
      <c r="C322" t="s">
        <v>31</v>
      </c>
      <c r="D322" t="s">
        <v>13</v>
      </c>
      <c r="E322" t="s">
        <v>14</v>
      </c>
      <c r="F322" t="s">
        <v>20</v>
      </c>
      <c r="G322" s="7">
        <v>45247</v>
      </c>
      <c r="H322">
        <v>426</v>
      </c>
      <c r="I322">
        <v>481.02</v>
      </c>
      <c r="J322">
        <v>371.99</v>
      </c>
    </row>
    <row r="323" spans="1:10" x14ac:dyDescent="0.45">
      <c r="A323" t="s">
        <v>350</v>
      </c>
      <c r="B323" t="s">
        <v>22</v>
      </c>
      <c r="C323" t="s">
        <v>26</v>
      </c>
      <c r="D323" t="s">
        <v>27</v>
      </c>
      <c r="E323" t="s">
        <v>24</v>
      </c>
      <c r="F323" t="s">
        <v>28</v>
      </c>
      <c r="G323" s="7">
        <v>45248</v>
      </c>
      <c r="H323">
        <v>86</v>
      </c>
      <c r="I323">
        <v>319.31</v>
      </c>
      <c r="J323">
        <v>313.47000000000003</v>
      </c>
    </row>
    <row r="324" spans="1:10" x14ac:dyDescent="0.45">
      <c r="A324" t="s">
        <v>351</v>
      </c>
      <c r="B324" t="s">
        <v>17</v>
      </c>
      <c r="C324" t="s">
        <v>12</v>
      </c>
      <c r="D324" t="s">
        <v>19</v>
      </c>
      <c r="E324" t="s">
        <v>24</v>
      </c>
      <c r="F324" t="s">
        <v>15</v>
      </c>
      <c r="G324" s="7">
        <v>45249</v>
      </c>
      <c r="H324">
        <v>125</v>
      </c>
      <c r="I324">
        <v>378.64</v>
      </c>
      <c r="J324">
        <v>24.34</v>
      </c>
    </row>
    <row r="325" spans="1:10" x14ac:dyDescent="0.45">
      <c r="A325" t="s">
        <v>352</v>
      </c>
      <c r="B325" t="s">
        <v>48</v>
      </c>
      <c r="C325" t="s">
        <v>18</v>
      </c>
      <c r="D325" t="s">
        <v>13</v>
      </c>
      <c r="E325" t="s">
        <v>14</v>
      </c>
      <c r="F325" t="s">
        <v>15</v>
      </c>
      <c r="G325" s="7">
        <v>45250</v>
      </c>
      <c r="H325">
        <v>163</v>
      </c>
      <c r="I325">
        <v>89.39</v>
      </c>
      <c r="J325">
        <v>341.39</v>
      </c>
    </row>
    <row r="326" spans="1:10" x14ac:dyDescent="0.45">
      <c r="A326" t="s">
        <v>353</v>
      </c>
      <c r="B326" t="s">
        <v>48</v>
      </c>
      <c r="C326" t="s">
        <v>26</v>
      </c>
      <c r="D326" t="s">
        <v>13</v>
      </c>
      <c r="E326" t="s">
        <v>24</v>
      </c>
      <c r="F326" t="s">
        <v>20</v>
      </c>
      <c r="G326" s="7">
        <v>45251</v>
      </c>
      <c r="H326">
        <v>415</v>
      </c>
      <c r="I326">
        <v>207.69</v>
      </c>
      <c r="J326">
        <v>91.77</v>
      </c>
    </row>
    <row r="327" spans="1:10" x14ac:dyDescent="0.45">
      <c r="A327" t="s">
        <v>354</v>
      </c>
      <c r="B327" t="s">
        <v>48</v>
      </c>
      <c r="C327" t="s">
        <v>26</v>
      </c>
      <c r="D327" t="s">
        <v>27</v>
      </c>
      <c r="E327" t="s">
        <v>24</v>
      </c>
      <c r="F327" t="s">
        <v>28</v>
      </c>
      <c r="G327" s="7">
        <v>45252</v>
      </c>
      <c r="H327">
        <v>112</v>
      </c>
      <c r="I327">
        <v>214.23</v>
      </c>
      <c r="J327">
        <v>152.01</v>
      </c>
    </row>
    <row r="328" spans="1:10" x14ac:dyDescent="0.45">
      <c r="A328" t="s">
        <v>355</v>
      </c>
      <c r="B328" t="s">
        <v>11</v>
      </c>
      <c r="C328" t="s">
        <v>12</v>
      </c>
      <c r="D328" t="s">
        <v>19</v>
      </c>
      <c r="E328" t="s">
        <v>24</v>
      </c>
      <c r="F328" t="s">
        <v>20</v>
      </c>
      <c r="G328" s="7">
        <v>45253</v>
      </c>
      <c r="H328">
        <v>203</v>
      </c>
      <c r="I328">
        <v>411.79</v>
      </c>
      <c r="J328">
        <v>185.77</v>
      </c>
    </row>
    <row r="329" spans="1:10" x14ac:dyDescent="0.45">
      <c r="A329" t="s">
        <v>356</v>
      </c>
      <c r="B329" t="s">
        <v>11</v>
      </c>
      <c r="C329" t="s">
        <v>18</v>
      </c>
      <c r="D329" t="s">
        <v>42</v>
      </c>
      <c r="E329" t="s">
        <v>24</v>
      </c>
      <c r="F329" t="s">
        <v>28</v>
      </c>
      <c r="G329" s="7">
        <v>45254</v>
      </c>
      <c r="I329">
        <v>5.61</v>
      </c>
      <c r="J329">
        <v>193.4</v>
      </c>
    </row>
    <row r="330" spans="1:10" x14ac:dyDescent="0.45">
      <c r="A330" t="s">
        <v>357</v>
      </c>
      <c r="B330" t="s">
        <v>17</v>
      </c>
      <c r="C330" t="s">
        <v>50</v>
      </c>
      <c r="D330" t="s">
        <v>13</v>
      </c>
      <c r="E330" t="s">
        <v>24</v>
      </c>
      <c r="F330" t="s">
        <v>28</v>
      </c>
      <c r="G330" s="7">
        <v>45255</v>
      </c>
      <c r="H330">
        <v>368</v>
      </c>
      <c r="I330">
        <v>153.91999999999999</v>
      </c>
      <c r="J330">
        <v>175.2</v>
      </c>
    </row>
    <row r="331" spans="1:10" x14ac:dyDescent="0.45">
      <c r="A331" t="s">
        <v>358</v>
      </c>
      <c r="B331" t="s">
        <v>17</v>
      </c>
      <c r="C331" t="s">
        <v>50</v>
      </c>
      <c r="D331" t="s">
        <v>42</v>
      </c>
      <c r="E331" t="s">
        <v>24</v>
      </c>
      <c r="F331" t="s">
        <v>28</v>
      </c>
      <c r="G331" s="7">
        <v>45256</v>
      </c>
      <c r="H331">
        <v>99</v>
      </c>
      <c r="I331">
        <v>490.71</v>
      </c>
      <c r="J331">
        <v>375.07</v>
      </c>
    </row>
    <row r="332" spans="1:10" x14ac:dyDescent="0.45">
      <c r="A332" t="s">
        <v>359</v>
      </c>
      <c r="B332" t="s">
        <v>22</v>
      </c>
      <c r="C332" t="s">
        <v>26</v>
      </c>
      <c r="D332" t="s">
        <v>42</v>
      </c>
      <c r="E332" t="s">
        <v>14</v>
      </c>
      <c r="F332" t="s">
        <v>15</v>
      </c>
      <c r="G332" s="7">
        <v>45257</v>
      </c>
      <c r="H332">
        <v>183</v>
      </c>
      <c r="I332">
        <v>240.07</v>
      </c>
      <c r="J332">
        <v>283</v>
      </c>
    </row>
    <row r="333" spans="1:10" x14ac:dyDescent="0.45">
      <c r="A333" t="s">
        <v>360</v>
      </c>
      <c r="B333" t="s">
        <v>17</v>
      </c>
      <c r="C333" t="s">
        <v>18</v>
      </c>
      <c r="D333" t="s">
        <v>42</v>
      </c>
      <c r="E333" t="s">
        <v>24</v>
      </c>
      <c r="F333" t="s">
        <v>20</v>
      </c>
      <c r="G333" s="7">
        <v>45258</v>
      </c>
      <c r="H333">
        <v>131</v>
      </c>
      <c r="I333">
        <v>194.35</v>
      </c>
      <c r="J333">
        <v>253.21</v>
      </c>
    </row>
    <row r="334" spans="1:10" x14ac:dyDescent="0.45">
      <c r="A334" t="s">
        <v>361</v>
      </c>
      <c r="B334" t="s">
        <v>17</v>
      </c>
      <c r="C334" t="s">
        <v>26</v>
      </c>
      <c r="D334" t="s">
        <v>23</v>
      </c>
      <c r="E334" t="s">
        <v>24</v>
      </c>
      <c r="F334" t="s">
        <v>20</v>
      </c>
      <c r="G334" s="7">
        <v>45259</v>
      </c>
      <c r="H334">
        <v>152</v>
      </c>
      <c r="I334">
        <v>64.319999999999993</v>
      </c>
      <c r="J334">
        <v>21.84</v>
      </c>
    </row>
    <row r="335" spans="1:10" x14ac:dyDescent="0.45">
      <c r="A335" t="s">
        <v>362</v>
      </c>
      <c r="B335" t="s">
        <v>11</v>
      </c>
      <c r="C335" t="s">
        <v>31</v>
      </c>
      <c r="D335" t="s">
        <v>23</v>
      </c>
      <c r="E335" t="s">
        <v>24</v>
      </c>
      <c r="F335" t="s">
        <v>28</v>
      </c>
      <c r="G335" s="7">
        <v>45260</v>
      </c>
      <c r="H335">
        <v>491</v>
      </c>
      <c r="I335">
        <v>487.21</v>
      </c>
      <c r="J335">
        <v>361.76</v>
      </c>
    </row>
    <row r="336" spans="1:10" x14ac:dyDescent="0.45">
      <c r="A336" t="s">
        <v>363</v>
      </c>
      <c r="B336" t="s">
        <v>48</v>
      </c>
      <c r="C336" t="s">
        <v>26</v>
      </c>
      <c r="D336" t="s">
        <v>42</v>
      </c>
      <c r="E336" t="s">
        <v>14</v>
      </c>
      <c r="F336" t="s">
        <v>15</v>
      </c>
      <c r="G336" s="7">
        <v>45261</v>
      </c>
      <c r="H336">
        <v>115</v>
      </c>
      <c r="I336">
        <v>14.91</v>
      </c>
      <c r="J336">
        <v>363.94</v>
      </c>
    </row>
    <row r="337" spans="1:10" x14ac:dyDescent="0.45">
      <c r="A337" t="s">
        <v>364</v>
      </c>
      <c r="B337" t="s">
        <v>17</v>
      </c>
      <c r="C337" t="s">
        <v>26</v>
      </c>
      <c r="D337" t="s">
        <v>13</v>
      </c>
      <c r="E337" t="s">
        <v>24</v>
      </c>
      <c r="F337" t="s">
        <v>15</v>
      </c>
      <c r="G337" s="7">
        <v>45262</v>
      </c>
      <c r="H337">
        <v>384</v>
      </c>
      <c r="I337">
        <v>369.9</v>
      </c>
      <c r="J337">
        <v>312.52</v>
      </c>
    </row>
    <row r="338" spans="1:10" x14ac:dyDescent="0.45">
      <c r="A338" t="s">
        <v>365</v>
      </c>
      <c r="B338" t="s">
        <v>22</v>
      </c>
      <c r="C338" t="s">
        <v>50</v>
      </c>
      <c r="D338" t="s">
        <v>19</v>
      </c>
      <c r="E338" t="s">
        <v>14</v>
      </c>
      <c r="F338" t="s">
        <v>20</v>
      </c>
      <c r="G338" s="7">
        <v>45263</v>
      </c>
      <c r="H338">
        <v>437</v>
      </c>
      <c r="I338">
        <v>385.46</v>
      </c>
      <c r="J338">
        <v>4.8</v>
      </c>
    </row>
    <row r="339" spans="1:10" x14ac:dyDescent="0.45">
      <c r="A339" t="s">
        <v>366</v>
      </c>
      <c r="B339" t="s">
        <v>11</v>
      </c>
      <c r="C339" t="s">
        <v>50</v>
      </c>
      <c r="D339" t="s">
        <v>19</v>
      </c>
      <c r="E339" t="s">
        <v>24</v>
      </c>
      <c r="F339" t="s">
        <v>15</v>
      </c>
      <c r="G339" s="7">
        <v>45264</v>
      </c>
      <c r="H339">
        <v>314</v>
      </c>
      <c r="I339">
        <v>125.61</v>
      </c>
      <c r="J339">
        <v>24.8</v>
      </c>
    </row>
    <row r="340" spans="1:10" x14ac:dyDescent="0.45">
      <c r="A340" t="s">
        <v>367</v>
      </c>
      <c r="B340" t="s">
        <v>17</v>
      </c>
      <c r="C340" t="s">
        <v>50</v>
      </c>
      <c r="D340" t="s">
        <v>27</v>
      </c>
      <c r="E340" t="s">
        <v>14</v>
      </c>
      <c r="F340" t="s">
        <v>15</v>
      </c>
      <c r="G340" s="7">
        <v>45265</v>
      </c>
      <c r="H340">
        <v>369</v>
      </c>
      <c r="I340">
        <v>337.42</v>
      </c>
      <c r="J340">
        <v>91.64</v>
      </c>
    </row>
    <row r="341" spans="1:10" x14ac:dyDescent="0.45">
      <c r="A341" t="s">
        <v>368</v>
      </c>
      <c r="B341" t="s">
        <v>17</v>
      </c>
      <c r="C341" t="s">
        <v>31</v>
      </c>
      <c r="D341" t="s">
        <v>13</v>
      </c>
      <c r="E341" t="s">
        <v>14</v>
      </c>
      <c r="F341" t="s">
        <v>28</v>
      </c>
      <c r="G341" s="7">
        <v>45266</v>
      </c>
      <c r="H341">
        <v>468</v>
      </c>
      <c r="I341">
        <v>51</v>
      </c>
      <c r="J341">
        <v>54.28</v>
      </c>
    </row>
    <row r="342" spans="1:10" x14ac:dyDescent="0.45">
      <c r="A342" t="s">
        <v>369</v>
      </c>
      <c r="B342" t="s">
        <v>11</v>
      </c>
      <c r="C342" t="s">
        <v>50</v>
      </c>
      <c r="D342" t="s">
        <v>23</v>
      </c>
      <c r="E342" t="s">
        <v>24</v>
      </c>
      <c r="F342" t="s">
        <v>15</v>
      </c>
      <c r="G342" s="7">
        <v>45267</v>
      </c>
      <c r="H342">
        <v>326</v>
      </c>
      <c r="I342">
        <v>132.24</v>
      </c>
      <c r="J342">
        <v>160.74</v>
      </c>
    </row>
    <row r="343" spans="1:10" x14ac:dyDescent="0.45">
      <c r="A343" t="s">
        <v>370</v>
      </c>
      <c r="B343" t="s">
        <v>17</v>
      </c>
      <c r="C343" t="s">
        <v>18</v>
      </c>
      <c r="D343" t="s">
        <v>42</v>
      </c>
      <c r="E343" t="s">
        <v>24</v>
      </c>
      <c r="F343" t="s">
        <v>28</v>
      </c>
      <c r="G343" s="7">
        <v>45268</v>
      </c>
      <c r="H343">
        <v>460</v>
      </c>
      <c r="I343">
        <v>395.01</v>
      </c>
      <c r="J343">
        <v>369.2</v>
      </c>
    </row>
    <row r="344" spans="1:10" x14ac:dyDescent="0.45">
      <c r="A344" t="s">
        <v>371</v>
      </c>
      <c r="B344" t="s">
        <v>11</v>
      </c>
      <c r="C344" t="s">
        <v>12</v>
      </c>
      <c r="D344" t="s">
        <v>27</v>
      </c>
      <c r="E344" t="s">
        <v>14</v>
      </c>
      <c r="F344" t="s">
        <v>20</v>
      </c>
      <c r="G344" s="7">
        <v>45269</v>
      </c>
      <c r="H344">
        <v>132</v>
      </c>
      <c r="I344">
        <v>433.02</v>
      </c>
      <c r="J344">
        <v>189.88</v>
      </c>
    </row>
    <row r="345" spans="1:10" x14ac:dyDescent="0.45">
      <c r="A345" t="s">
        <v>372</v>
      </c>
      <c r="B345" t="s">
        <v>48</v>
      </c>
      <c r="C345" t="s">
        <v>18</v>
      </c>
      <c r="D345" t="s">
        <v>19</v>
      </c>
      <c r="E345" t="s">
        <v>24</v>
      </c>
      <c r="F345" t="s">
        <v>15</v>
      </c>
      <c r="G345" s="7">
        <v>45270</v>
      </c>
      <c r="H345">
        <v>399</v>
      </c>
      <c r="I345">
        <v>306.2</v>
      </c>
      <c r="J345">
        <v>7.33</v>
      </c>
    </row>
    <row r="346" spans="1:10" x14ac:dyDescent="0.45">
      <c r="A346" t="s">
        <v>373</v>
      </c>
      <c r="B346" t="s">
        <v>11</v>
      </c>
      <c r="C346" t="s">
        <v>18</v>
      </c>
      <c r="D346" t="s">
        <v>23</v>
      </c>
      <c r="E346" t="s">
        <v>14</v>
      </c>
      <c r="F346" t="s">
        <v>20</v>
      </c>
      <c r="G346" s="7">
        <v>45271</v>
      </c>
      <c r="H346">
        <v>18</v>
      </c>
      <c r="I346">
        <v>255.89</v>
      </c>
      <c r="J346">
        <v>114.53</v>
      </c>
    </row>
    <row r="347" spans="1:10" x14ac:dyDescent="0.45">
      <c r="A347" t="s">
        <v>374</v>
      </c>
      <c r="B347" t="s">
        <v>11</v>
      </c>
      <c r="C347" t="s">
        <v>50</v>
      </c>
      <c r="D347" t="s">
        <v>23</v>
      </c>
      <c r="E347" t="s">
        <v>14</v>
      </c>
      <c r="F347" t="s">
        <v>20</v>
      </c>
      <c r="G347" s="7">
        <v>45272</v>
      </c>
      <c r="H347">
        <v>271</v>
      </c>
      <c r="I347">
        <v>83.86</v>
      </c>
      <c r="J347">
        <v>19.75</v>
      </c>
    </row>
    <row r="348" spans="1:10" x14ac:dyDescent="0.45">
      <c r="A348" t="s">
        <v>375</v>
      </c>
      <c r="B348" t="s">
        <v>17</v>
      </c>
      <c r="C348" t="s">
        <v>12</v>
      </c>
      <c r="D348" t="s">
        <v>42</v>
      </c>
      <c r="E348" t="s">
        <v>14</v>
      </c>
      <c r="F348" t="s">
        <v>15</v>
      </c>
      <c r="G348" s="7">
        <v>45273</v>
      </c>
      <c r="H348">
        <v>82</v>
      </c>
      <c r="I348">
        <v>36.24</v>
      </c>
      <c r="J348">
        <v>16.440000000000001</v>
      </c>
    </row>
    <row r="349" spans="1:10" x14ac:dyDescent="0.45">
      <c r="A349" t="s">
        <v>376</v>
      </c>
      <c r="B349" t="s">
        <v>17</v>
      </c>
      <c r="C349" t="s">
        <v>12</v>
      </c>
      <c r="D349" t="s">
        <v>19</v>
      </c>
      <c r="E349" t="s">
        <v>14</v>
      </c>
      <c r="F349" t="s">
        <v>15</v>
      </c>
      <c r="G349" s="7">
        <v>45274</v>
      </c>
      <c r="H349">
        <v>368</v>
      </c>
      <c r="I349">
        <v>63.24</v>
      </c>
      <c r="J349">
        <v>111.74</v>
      </c>
    </row>
    <row r="350" spans="1:10" x14ac:dyDescent="0.45">
      <c r="A350" t="s">
        <v>377</v>
      </c>
      <c r="B350" t="s">
        <v>17</v>
      </c>
      <c r="C350" t="s">
        <v>12</v>
      </c>
      <c r="D350" t="s">
        <v>13</v>
      </c>
      <c r="E350" t="s">
        <v>14</v>
      </c>
      <c r="F350" t="s">
        <v>20</v>
      </c>
      <c r="G350" s="7">
        <v>45275</v>
      </c>
      <c r="H350">
        <v>232</v>
      </c>
      <c r="I350">
        <v>117.54</v>
      </c>
      <c r="J350">
        <v>111.69</v>
      </c>
    </row>
    <row r="351" spans="1:10" x14ac:dyDescent="0.45">
      <c r="A351" t="s">
        <v>378</v>
      </c>
      <c r="B351" t="s">
        <v>11</v>
      </c>
      <c r="C351" t="s">
        <v>31</v>
      </c>
      <c r="D351" t="s">
        <v>23</v>
      </c>
      <c r="E351" t="s">
        <v>24</v>
      </c>
      <c r="F351" t="s">
        <v>15</v>
      </c>
      <c r="G351" s="7">
        <v>45276</v>
      </c>
      <c r="H351">
        <v>425</v>
      </c>
      <c r="I351">
        <v>174.13</v>
      </c>
      <c r="J351">
        <v>315.27999999999997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2EA5-43F1-4BE3-A54C-F622F2EA8B66}">
  <dimension ref="A1:U351"/>
  <sheetViews>
    <sheetView workbookViewId="0">
      <selection activeCell="Q11" sqref="Q11"/>
    </sheetView>
  </sheetViews>
  <sheetFormatPr defaultRowHeight="14.25" x14ac:dyDescent="0.45"/>
  <cols>
    <col min="5" max="5" width="12.53125" bestFit="1" customWidth="1"/>
    <col min="6" max="6" width="12.33203125" bestFit="1" customWidth="1"/>
    <col min="7" max="7" width="18.1328125" bestFit="1" customWidth="1"/>
  </cols>
  <sheetData>
    <row r="1" spans="1:21" x14ac:dyDescent="0.45">
      <c r="A1" s="6" t="s">
        <v>0</v>
      </c>
      <c r="B1" s="6" t="s">
        <v>1</v>
      </c>
      <c r="C1" s="6" t="s">
        <v>2</v>
      </c>
      <c r="D1" s="6" t="s">
        <v>3</v>
      </c>
      <c r="E1" s="6" t="s">
        <v>4</v>
      </c>
      <c r="F1" s="6" t="s">
        <v>5</v>
      </c>
      <c r="G1" s="6" t="s">
        <v>6</v>
      </c>
      <c r="H1" s="6" t="s">
        <v>7</v>
      </c>
      <c r="I1" s="6" t="s">
        <v>8</v>
      </c>
      <c r="J1" s="6" t="s">
        <v>9</v>
      </c>
    </row>
    <row r="2" spans="1:21" ht="18" x14ac:dyDescent="0.45">
      <c r="A2" t="s">
        <v>10</v>
      </c>
      <c r="B2" t="s">
        <v>11</v>
      </c>
      <c r="C2" t="s">
        <v>12</v>
      </c>
      <c r="D2" t="s">
        <v>13</v>
      </c>
      <c r="E2" t="s">
        <v>14</v>
      </c>
      <c r="F2" t="s">
        <v>15</v>
      </c>
      <c r="G2" s="7">
        <v>44927</v>
      </c>
      <c r="H2">
        <v>235</v>
      </c>
      <c r="I2">
        <v>152.91999999999999</v>
      </c>
      <c r="J2">
        <v>153.6</v>
      </c>
      <c r="L2" s="9" t="s">
        <v>381</v>
      </c>
      <c r="M2" s="8"/>
      <c r="N2" s="8"/>
      <c r="O2" s="8"/>
      <c r="P2" s="8"/>
      <c r="Q2" s="8"/>
      <c r="R2" s="8"/>
      <c r="S2" s="8"/>
      <c r="T2" s="8"/>
      <c r="U2" s="8"/>
    </row>
    <row r="3" spans="1:21" x14ac:dyDescent="0.45">
      <c r="A3" t="s">
        <v>16</v>
      </c>
      <c r="B3" t="s">
        <v>17</v>
      </c>
      <c r="C3" t="s">
        <v>18</v>
      </c>
      <c r="D3" t="s">
        <v>19</v>
      </c>
      <c r="E3" t="s">
        <v>14</v>
      </c>
      <c r="F3" t="s">
        <v>20</v>
      </c>
      <c r="G3" s="7">
        <v>44928</v>
      </c>
      <c r="H3">
        <v>341</v>
      </c>
      <c r="I3">
        <v>467.92</v>
      </c>
      <c r="J3">
        <v>139.84</v>
      </c>
    </row>
    <row r="4" spans="1:21" x14ac:dyDescent="0.45">
      <c r="A4" t="s">
        <v>21</v>
      </c>
      <c r="B4" t="s">
        <v>22</v>
      </c>
      <c r="C4" t="s">
        <v>18</v>
      </c>
      <c r="D4" t="s">
        <v>23</v>
      </c>
      <c r="E4" t="s">
        <v>24</v>
      </c>
      <c r="F4" t="s">
        <v>15</v>
      </c>
      <c r="G4" s="7">
        <v>44929</v>
      </c>
      <c r="H4">
        <v>179</v>
      </c>
      <c r="I4">
        <v>473.94</v>
      </c>
      <c r="J4">
        <v>97.14</v>
      </c>
      <c r="L4" t="s">
        <v>380</v>
      </c>
    </row>
    <row r="5" spans="1:21" x14ac:dyDescent="0.45">
      <c r="A5" t="s">
        <v>25</v>
      </c>
      <c r="B5" t="s">
        <v>11</v>
      </c>
      <c r="C5" t="s">
        <v>26</v>
      </c>
      <c r="D5" t="s">
        <v>27</v>
      </c>
      <c r="E5" t="s">
        <v>24</v>
      </c>
      <c r="F5" t="s">
        <v>28</v>
      </c>
      <c r="G5" s="7">
        <v>44930</v>
      </c>
      <c r="H5">
        <v>18</v>
      </c>
      <c r="I5">
        <v>314.52999999999997</v>
      </c>
      <c r="J5">
        <v>204.87</v>
      </c>
      <c r="L5" t="s">
        <v>382</v>
      </c>
      <c r="M5">
        <f>COUNTBLANK(H2:H351)</f>
        <v>0</v>
      </c>
    </row>
    <row r="6" spans="1:21" x14ac:dyDescent="0.45">
      <c r="A6" t="s">
        <v>29</v>
      </c>
      <c r="B6" t="s">
        <v>11</v>
      </c>
      <c r="C6" t="s">
        <v>18</v>
      </c>
      <c r="D6" t="s">
        <v>27</v>
      </c>
      <c r="E6" t="s">
        <v>24</v>
      </c>
      <c r="F6" t="s">
        <v>28</v>
      </c>
      <c r="G6" s="7">
        <v>44931</v>
      </c>
      <c r="H6">
        <v>472</v>
      </c>
      <c r="I6">
        <v>392.79</v>
      </c>
      <c r="J6">
        <v>330.46</v>
      </c>
      <c r="L6" t="s">
        <v>8</v>
      </c>
      <c r="M6">
        <f>COUNTBLANK(I2:I351)</f>
        <v>0</v>
      </c>
    </row>
    <row r="7" spans="1:21" x14ac:dyDescent="0.45">
      <c r="A7" t="s">
        <v>30</v>
      </c>
      <c r="B7" t="s">
        <v>17</v>
      </c>
      <c r="C7" t="s">
        <v>31</v>
      </c>
      <c r="D7" t="s">
        <v>23</v>
      </c>
      <c r="E7" t="s">
        <v>14</v>
      </c>
      <c r="F7" t="s">
        <v>15</v>
      </c>
      <c r="G7" s="7">
        <v>44932</v>
      </c>
      <c r="H7">
        <v>49</v>
      </c>
      <c r="I7">
        <v>308.07</v>
      </c>
      <c r="J7">
        <v>113.32</v>
      </c>
    </row>
    <row r="8" spans="1:21" x14ac:dyDescent="0.45">
      <c r="A8" t="s">
        <v>32</v>
      </c>
      <c r="B8" t="s">
        <v>22</v>
      </c>
      <c r="C8" t="s">
        <v>12</v>
      </c>
      <c r="D8" t="s">
        <v>23</v>
      </c>
      <c r="E8" t="s">
        <v>14</v>
      </c>
      <c r="F8" t="s">
        <v>20</v>
      </c>
      <c r="G8" s="7">
        <v>44933</v>
      </c>
      <c r="H8">
        <v>34</v>
      </c>
      <c r="I8">
        <v>244.78</v>
      </c>
      <c r="J8">
        <v>377.07</v>
      </c>
    </row>
    <row r="9" spans="1:21" x14ac:dyDescent="0.45">
      <c r="A9" t="s">
        <v>33</v>
      </c>
      <c r="B9" t="s">
        <v>22</v>
      </c>
      <c r="C9" t="s">
        <v>18</v>
      </c>
      <c r="D9" t="s">
        <v>13</v>
      </c>
      <c r="E9" t="s">
        <v>14</v>
      </c>
      <c r="F9" t="s">
        <v>15</v>
      </c>
      <c r="G9" s="7">
        <v>44934</v>
      </c>
      <c r="H9">
        <v>270</v>
      </c>
      <c r="I9">
        <v>332.11</v>
      </c>
      <c r="J9">
        <v>349.59</v>
      </c>
    </row>
    <row r="10" spans="1:21" x14ac:dyDescent="0.45">
      <c r="A10" t="s">
        <v>34</v>
      </c>
      <c r="B10" t="s">
        <v>11</v>
      </c>
      <c r="C10" t="s">
        <v>18</v>
      </c>
      <c r="D10" t="s">
        <v>13</v>
      </c>
      <c r="E10" t="s">
        <v>14</v>
      </c>
      <c r="F10" t="s">
        <v>20</v>
      </c>
      <c r="G10" s="7">
        <v>44935</v>
      </c>
      <c r="H10">
        <v>404</v>
      </c>
      <c r="I10">
        <v>278.74</v>
      </c>
      <c r="J10">
        <v>66.38</v>
      </c>
    </row>
    <row r="11" spans="1:21" x14ac:dyDescent="0.45">
      <c r="A11" t="s">
        <v>35</v>
      </c>
      <c r="B11" t="s">
        <v>17</v>
      </c>
      <c r="C11" t="s">
        <v>26</v>
      </c>
      <c r="D11" t="s">
        <v>27</v>
      </c>
      <c r="E11" t="s">
        <v>14</v>
      </c>
      <c r="F11" t="s">
        <v>28</v>
      </c>
      <c r="G11" s="7">
        <v>44936</v>
      </c>
      <c r="H11">
        <v>452</v>
      </c>
      <c r="I11">
        <v>300.75</v>
      </c>
      <c r="J11">
        <v>314.94</v>
      </c>
    </row>
    <row r="12" spans="1:21" x14ac:dyDescent="0.45">
      <c r="A12" t="s">
        <v>36</v>
      </c>
      <c r="B12" t="s">
        <v>11</v>
      </c>
      <c r="C12" t="s">
        <v>26</v>
      </c>
      <c r="D12" t="s">
        <v>19</v>
      </c>
      <c r="E12" t="s">
        <v>14</v>
      </c>
      <c r="F12" t="s">
        <v>20</v>
      </c>
      <c r="G12" s="7">
        <v>44937</v>
      </c>
      <c r="H12">
        <v>235</v>
      </c>
      <c r="I12">
        <v>393</v>
      </c>
      <c r="J12">
        <v>230.69</v>
      </c>
    </row>
    <row r="13" spans="1:21" x14ac:dyDescent="0.45">
      <c r="A13" t="s">
        <v>37</v>
      </c>
      <c r="B13" t="s">
        <v>11</v>
      </c>
      <c r="C13" t="s">
        <v>31</v>
      </c>
      <c r="D13" t="s">
        <v>27</v>
      </c>
      <c r="E13" t="s">
        <v>24</v>
      </c>
      <c r="F13" t="s">
        <v>28</v>
      </c>
      <c r="G13" s="7">
        <v>44938</v>
      </c>
      <c r="H13">
        <v>481</v>
      </c>
      <c r="I13">
        <v>243.05</v>
      </c>
      <c r="J13">
        <v>227.5</v>
      </c>
    </row>
    <row r="14" spans="1:21" x14ac:dyDescent="0.45">
      <c r="A14" t="s">
        <v>38</v>
      </c>
      <c r="B14" t="s">
        <v>11</v>
      </c>
      <c r="C14" t="s">
        <v>12</v>
      </c>
      <c r="D14" t="s">
        <v>19</v>
      </c>
      <c r="E14" t="s">
        <v>24</v>
      </c>
      <c r="F14" t="s">
        <v>20</v>
      </c>
      <c r="G14" s="7">
        <v>44939</v>
      </c>
      <c r="H14">
        <v>133</v>
      </c>
      <c r="I14">
        <v>25.17</v>
      </c>
      <c r="J14">
        <v>157.63999999999999</v>
      </c>
    </row>
    <row r="15" spans="1:21" x14ac:dyDescent="0.45">
      <c r="A15" t="s">
        <v>39</v>
      </c>
      <c r="B15" t="s">
        <v>11</v>
      </c>
      <c r="C15" t="s">
        <v>26</v>
      </c>
      <c r="D15" t="s">
        <v>19</v>
      </c>
      <c r="E15" t="s">
        <v>24</v>
      </c>
      <c r="F15" t="s">
        <v>20</v>
      </c>
      <c r="G15" s="7">
        <v>44940</v>
      </c>
      <c r="H15">
        <v>472</v>
      </c>
      <c r="I15">
        <v>86.18</v>
      </c>
      <c r="J15">
        <v>201.46</v>
      </c>
    </row>
    <row r="16" spans="1:21" x14ac:dyDescent="0.45">
      <c r="A16" t="s">
        <v>40</v>
      </c>
      <c r="B16" t="s">
        <v>17</v>
      </c>
      <c r="C16" t="s">
        <v>18</v>
      </c>
      <c r="D16" t="s">
        <v>13</v>
      </c>
      <c r="E16" t="s">
        <v>24</v>
      </c>
      <c r="F16" t="s">
        <v>20</v>
      </c>
      <c r="G16" s="7">
        <v>44941</v>
      </c>
      <c r="H16">
        <v>47</v>
      </c>
      <c r="I16">
        <v>222.11</v>
      </c>
      <c r="J16">
        <v>160.08000000000001</v>
      </c>
    </row>
    <row r="17" spans="1:10" x14ac:dyDescent="0.45">
      <c r="A17" t="s">
        <v>41</v>
      </c>
      <c r="B17" t="s">
        <v>22</v>
      </c>
      <c r="C17" t="s">
        <v>12</v>
      </c>
      <c r="D17" t="s">
        <v>42</v>
      </c>
      <c r="E17" t="s">
        <v>14</v>
      </c>
      <c r="F17" t="s">
        <v>15</v>
      </c>
      <c r="G17" s="7">
        <v>44942</v>
      </c>
      <c r="H17">
        <v>337</v>
      </c>
      <c r="I17">
        <v>363.79</v>
      </c>
      <c r="J17">
        <v>216.81</v>
      </c>
    </row>
    <row r="18" spans="1:10" x14ac:dyDescent="0.45">
      <c r="A18" t="s">
        <v>43</v>
      </c>
      <c r="B18" t="s">
        <v>17</v>
      </c>
      <c r="C18" t="s">
        <v>12</v>
      </c>
      <c r="D18" t="s">
        <v>42</v>
      </c>
      <c r="E18" t="s">
        <v>14</v>
      </c>
      <c r="F18" t="s">
        <v>15</v>
      </c>
      <c r="G18" s="7">
        <v>44943</v>
      </c>
      <c r="H18">
        <v>260</v>
      </c>
      <c r="I18">
        <v>298.67</v>
      </c>
      <c r="J18">
        <v>251.92</v>
      </c>
    </row>
    <row r="19" spans="1:10" x14ac:dyDescent="0.45">
      <c r="A19" t="s">
        <v>44</v>
      </c>
      <c r="B19" t="s">
        <v>17</v>
      </c>
      <c r="C19" t="s">
        <v>18</v>
      </c>
      <c r="D19" t="s">
        <v>23</v>
      </c>
      <c r="E19" t="s">
        <v>24</v>
      </c>
      <c r="F19" t="s">
        <v>28</v>
      </c>
      <c r="G19" s="7">
        <v>44944</v>
      </c>
      <c r="H19">
        <v>398</v>
      </c>
      <c r="I19">
        <v>326.89999999999998</v>
      </c>
      <c r="J19">
        <v>270.37</v>
      </c>
    </row>
    <row r="20" spans="1:10" x14ac:dyDescent="0.45">
      <c r="A20" t="s">
        <v>45</v>
      </c>
      <c r="B20" t="s">
        <v>17</v>
      </c>
      <c r="C20" t="s">
        <v>26</v>
      </c>
      <c r="D20" t="s">
        <v>13</v>
      </c>
      <c r="E20" t="s">
        <v>14</v>
      </c>
      <c r="F20" t="s">
        <v>28</v>
      </c>
      <c r="G20" s="7">
        <v>44945</v>
      </c>
      <c r="H20">
        <v>185</v>
      </c>
      <c r="I20">
        <v>242.24</v>
      </c>
      <c r="J20">
        <v>213.93</v>
      </c>
    </row>
    <row r="21" spans="1:10" x14ac:dyDescent="0.45">
      <c r="A21" t="s">
        <v>46</v>
      </c>
      <c r="B21" t="s">
        <v>11</v>
      </c>
      <c r="C21" t="s">
        <v>18</v>
      </c>
      <c r="D21" t="s">
        <v>19</v>
      </c>
      <c r="E21" t="s">
        <v>24</v>
      </c>
      <c r="F21" t="s">
        <v>15</v>
      </c>
      <c r="G21" s="7">
        <v>44946</v>
      </c>
      <c r="H21">
        <v>99</v>
      </c>
      <c r="I21">
        <v>309.79000000000002</v>
      </c>
      <c r="J21">
        <v>289.13</v>
      </c>
    </row>
    <row r="22" spans="1:10" x14ac:dyDescent="0.45">
      <c r="A22" t="s">
        <v>47</v>
      </c>
      <c r="B22" t="s">
        <v>48</v>
      </c>
      <c r="C22" t="s">
        <v>12</v>
      </c>
      <c r="D22" t="s">
        <v>42</v>
      </c>
      <c r="E22" t="s">
        <v>24</v>
      </c>
      <c r="F22" t="s">
        <v>28</v>
      </c>
      <c r="G22" s="7">
        <v>44947</v>
      </c>
      <c r="H22">
        <v>411</v>
      </c>
      <c r="I22">
        <v>167.86</v>
      </c>
      <c r="J22">
        <v>58.23</v>
      </c>
    </row>
    <row r="23" spans="1:10" x14ac:dyDescent="0.45">
      <c r="A23" t="s">
        <v>49</v>
      </c>
      <c r="B23" t="s">
        <v>22</v>
      </c>
      <c r="C23" t="s">
        <v>50</v>
      </c>
      <c r="D23" t="s">
        <v>19</v>
      </c>
      <c r="E23" t="s">
        <v>24</v>
      </c>
      <c r="F23" t="s">
        <v>15</v>
      </c>
      <c r="G23" s="7">
        <v>44948</v>
      </c>
      <c r="H23">
        <v>463</v>
      </c>
      <c r="I23">
        <v>237.74</v>
      </c>
      <c r="J23">
        <v>86.37</v>
      </c>
    </row>
    <row r="24" spans="1:10" x14ac:dyDescent="0.45">
      <c r="A24" t="s">
        <v>51</v>
      </c>
      <c r="B24" t="s">
        <v>48</v>
      </c>
      <c r="C24" t="s">
        <v>50</v>
      </c>
      <c r="D24" t="s">
        <v>42</v>
      </c>
      <c r="E24" t="s">
        <v>14</v>
      </c>
      <c r="F24" t="s">
        <v>20</v>
      </c>
      <c r="G24" s="7">
        <v>44949</v>
      </c>
      <c r="H24">
        <v>46</v>
      </c>
      <c r="I24">
        <v>373.42</v>
      </c>
      <c r="J24">
        <v>327.86</v>
      </c>
    </row>
    <row r="25" spans="1:10" x14ac:dyDescent="0.45">
      <c r="A25" t="s">
        <v>52</v>
      </c>
      <c r="B25" t="s">
        <v>17</v>
      </c>
      <c r="C25" t="s">
        <v>31</v>
      </c>
      <c r="D25" t="s">
        <v>42</v>
      </c>
      <c r="E25" t="s">
        <v>24</v>
      </c>
      <c r="F25" t="s">
        <v>28</v>
      </c>
      <c r="G25" s="7">
        <v>44950</v>
      </c>
      <c r="H25">
        <v>325</v>
      </c>
      <c r="I25">
        <v>436.56</v>
      </c>
      <c r="J25">
        <v>130.37</v>
      </c>
    </row>
    <row r="26" spans="1:10" x14ac:dyDescent="0.45">
      <c r="A26" t="s">
        <v>53</v>
      </c>
      <c r="B26" t="s">
        <v>17</v>
      </c>
      <c r="C26" t="s">
        <v>18</v>
      </c>
      <c r="D26" t="s">
        <v>13</v>
      </c>
      <c r="E26" t="s">
        <v>24</v>
      </c>
      <c r="F26" t="s">
        <v>28</v>
      </c>
      <c r="G26" s="7">
        <v>44951</v>
      </c>
      <c r="H26">
        <v>185</v>
      </c>
      <c r="I26">
        <v>219.66</v>
      </c>
      <c r="J26">
        <v>11.11</v>
      </c>
    </row>
    <row r="27" spans="1:10" x14ac:dyDescent="0.45">
      <c r="A27" t="s">
        <v>54</v>
      </c>
      <c r="B27" t="s">
        <v>48</v>
      </c>
      <c r="C27" t="s">
        <v>18</v>
      </c>
      <c r="D27" t="s">
        <v>13</v>
      </c>
      <c r="E27" t="s">
        <v>24</v>
      </c>
      <c r="F27" t="s">
        <v>15</v>
      </c>
      <c r="G27" s="7">
        <v>44952</v>
      </c>
      <c r="H27">
        <v>470</v>
      </c>
      <c r="I27">
        <v>26.61</v>
      </c>
      <c r="J27">
        <v>63.21</v>
      </c>
    </row>
    <row r="28" spans="1:10" x14ac:dyDescent="0.45">
      <c r="A28" t="s">
        <v>55</v>
      </c>
      <c r="B28" t="s">
        <v>48</v>
      </c>
      <c r="C28" t="s">
        <v>31</v>
      </c>
      <c r="D28" t="s">
        <v>27</v>
      </c>
      <c r="E28" t="s">
        <v>14</v>
      </c>
      <c r="F28" t="s">
        <v>28</v>
      </c>
      <c r="G28" s="7">
        <v>44953</v>
      </c>
      <c r="H28">
        <v>293</v>
      </c>
      <c r="I28">
        <v>85.03</v>
      </c>
      <c r="J28">
        <v>91</v>
      </c>
    </row>
    <row r="29" spans="1:10" x14ac:dyDescent="0.45">
      <c r="A29" t="s">
        <v>56</v>
      </c>
      <c r="B29" t="s">
        <v>48</v>
      </c>
      <c r="C29" t="s">
        <v>31</v>
      </c>
      <c r="D29" t="s">
        <v>19</v>
      </c>
      <c r="E29" t="s">
        <v>14</v>
      </c>
      <c r="F29" t="s">
        <v>28</v>
      </c>
      <c r="G29" s="7">
        <v>44954</v>
      </c>
      <c r="H29">
        <v>462</v>
      </c>
      <c r="I29">
        <v>255.39500000000001</v>
      </c>
      <c r="J29">
        <v>383.01</v>
      </c>
    </row>
    <row r="30" spans="1:10" x14ac:dyDescent="0.45">
      <c r="A30" t="s">
        <v>57</v>
      </c>
      <c r="B30" t="s">
        <v>17</v>
      </c>
      <c r="C30" t="s">
        <v>31</v>
      </c>
      <c r="D30" t="s">
        <v>13</v>
      </c>
      <c r="E30" t="s">
        <v>24</v>
      </c>
      <c r="F30" t="s">
        <v>20</v>
      </c>
      <c r="G30" s="7">
        <v>44955</v>
      </c>
      <c r="H30">
        <v>470</v>
      </c>
      <c r="I30">
        <v>328.37</v>
      </c>
      <c r="J30">
        <v>230.07</v>
      </c>
    </row>
    <row r="31" spans="1:10" x14ac:dyDescent="0.45">
      <c r="A31" t="s">
        <v>58</v>
      </c>
      <c r="B31" t="s">
        <v>17</v>
      </c>
      <c r="C31" t="s">
        <v>12</v>
      </c>
      <c r="D31" t="s">
        <v>13</v>
      </c>
      <c r="E31" t="s">
        <v>14</v>
      </c>
      <c r="F31" t="s">
        <v>28</v>
      </c>
      <c r="G31" s="7">
        <v>44956</v>
      </c>
      <c r="H31">
        <v>90</v>
      </c>
      <c r="I31">
        <v>169.5</v>
      </c>
      <c r="J31">
        <v>373.23</v>
      </c>
    </row>
    <row r="32" spans="1:10" x14ac:dyDescent="0.45">
      <c r="A32" t="s">
        <v>59</v>
      </c>
      <c r="B32" t="s">
        <v>17</v>
      </c>
      <c r="C32" t="s">
        <v>18</v>
      </c>
      <c r="D32" t="s">
        <v>13</v>
      </c>
      <c r="E32" t="s">
        <v>14</v>
      </c>
      <c r="F32" t="s">
        <v>20</v>
      </c>
      <c r="G32" s="7">
        <v>44957</v>
      </c>
      <c r="H32">
        <v>123</v>
      </c>
      <c r="I32">
        <v>273.52999999999997</v>
      </c>
      <c r="J32">
        <v>230.92</v>
      </c>
    </row>
    <row r="33" spans="1:10" x14ac:dyDescent="0.45">
      <c r="A33" t="s">
        <v>60</v>
      </c>
      <c r="B33" t="s">
        <v>22</v>
      </c>
      <c r="C33" t="s">
        <v>12</v>
      </c>
      <c r="D33" t="s">
        <v>13</v>
      </c>
      <c r="E33" t="s">
        <v>14</v>
      </c>
      <c r="F33" t="s">
        <v>15</v>
      </c>
      <c r="G33" s="7">
        <v>44958</v>
      </c>
      <c r="H33">
        <v>49</v>
      </c>
      <c r="I33">
        <v>249.17</v>
      </c>
      <c r="J33">
        <v>192.78</v>
      </c>
    </row>
    <row r="34" spans="1:10" x14ac:dyDescent="0.45">
      <c r="A34" t="s">
        <v>61</v>
      </c>
      <c r="B34" t="s">
        <v>17</v>
      </c>
      <c r="C34" t="s">
        <v>31</v>
      </c>
      <c r="D34" t="s">
        <v>13</v>
      </c>
      <c r="E34" t="s">
        <v>14</v>
      </c>
      <c r="F34" t="s">
        <v>28</v>
      </c>
      <c r="G34" s="7">
        <v>44959</v>
      </c>
      <c r="H34">
        <v>310</v>
      </c>
      <c r="I34">
        <v>45.36</v>
      </c>
      <c r="J34">
        <v>126.86</v>
      </c>
    </row>
    <row r="35" spans="1:10" x14ac:dyDescent="0.45">
      <c r="A35" t="s">
        <v>62</v>
      </c>
      <c r="B35" t="s">
        <v>48</v>
      </c>
      <c r="C35" t="s">
        <v>18</v>
      </c>
      <c r="D35" t="s">
        <v>23</v>
      </c>
      <c r="E35" t="s">
        <v>14</v>
      </c>
      <c r="F35" t="s">
        <v>20</v>
      </c>
      <c r="G35" s="7">
        <v>44960</v>
      </c>
      <c r="H35">
        <v>233</v>
      </c>
      <c r="I35">
        <v>204.61</v>
      </c>
      <c r="J35">
        <v>243.34</v>
      </c>
    </row>
    <row r="36" spans="1:10" x14ac:dyDescent="0.45">
      <c r="A36" t="s">
        <v>63</v>
      </c>
      <c r="B36" t="s">
        <v>48</v>
      </c>
      <c r="C36" t="s">
        <v>12</v>
      </c>
      <c r="D36" t="s">
        <v>19</v>
      </c>
      <c r="E36" t="s">
        <v>14</v>
      </c>
      <c r="F36" t="s">
        <v>15</v>
      </c>
      <c r="G36" s="7">
        <v>44961</v>
      </c>
      <c r="H36">
        <v>327</v>
      </c>
      <c r="I36">
        <v>114.18</v>
      </c>
      <c r="J36">
        <v>57.4</v>
      </c>
    </row>
    <row r="37" spans="1:10" x14ac:dyDescent="0.45">
      <c r="A37" t="s">
        <v>64</v>
      </c>
      <c r="B37" t="s">
        <v>22</v>
      </c>
      <c r="C37" t="s">
        <v>12</v>
      </c>
      <c r="D37" t="s">
        <v>13</v>
      </c>
      <c r="E37" t="s">
        <v>14</v>
      </c>
      <c r="F37" t="s">
        <v>28</v>
      </c>
      <c r="G37" s="7">
        <v>44962</v>
      </c>
      <c r="H37">
        <v>358</v>
      </c>
      <c r="I37">
        <v>212.11</v>
      </c>
      <c r="J37">
        <v>359.51</v>
      </c>
    </row>
    <row r="38" spans="1:10" x14ac:dyDescent="0.45">
      <c r="A38" t="s">
        <v>65</v>
      </c>
      <c r="B38" t="s">
        <v>17</v>
      </c>
      <c r="C38" t="s">
        <v>31</v>
      </c>
      <c r="D38" t="s">
        <v>19</v>
      </c>
      <c r="E38" t="s">
        <v>14</v>
      </c>
      <c r="F38" t="s">
        <v>15</v>
      </c>
      <c r="G38" s="7">
        <v>44963</v>
      </c>
      <c r="H38">
        <v>124</v>
      </c>
      <c r="I38">
        <v>255.39500000000001</v>
      </c>
      <c r="J38">
        <v>332.07</v>
      </c>
    </row>
    <row r="39" spans="1:10" x14ac:dyDescent="0.45">
      <c r="A39" t="s">
        <v>66</v>
      </c>
      <c r="B39" t="s">
        <v>22</v>
      </c>
      <c r="C39" t="s">
        <v>18</v>
      </c>
      <c r="D39" t="s">
        <v>23</v>
      </c>
      <c r="E39" t="s">
        <v>14</v>
      </c>
      <c r="F39" t="s">
        <v>28</v>
      </c>
      <c r="G39" s="7">
        <v>44964</v>
      </c>
      <c r="H39">
        <v>195</v>
      </c>
      <c r="I39">
        <v>421.02</v>
      </c>
      <c r="J39">
        <v>128.38</v>
      </c>
    </row>
    <row r="40" spans="1:10" x14ac:dyDescent="0.45">
      <c r="A40" t="s">
        <v>67</v>
      </c>
      <c r="B40" t="s">
        <v>22</v>
      </c>
      <c r="C40" t="s">
        <v>31</v>
      </c>
      <c r="D40" t="s">
        <v>23</v>
      </c>
      <c r="E40" t="s">
        <v>14</v>
      </c>
      <c r="F40" t="s">
        <v>15</v>
      </c>
      <c r="G40" s="7">
        <v>44965</v>
      </c>
      <c r="H40">
        <v>248.5</v>
      </c>
      <c r="I40">
        <v>91.23</v>
      </c>
      <c r="J40">
        <v>381.21</v>
      </c>
    </row>
    <row r="41" spans="1:10" x14ac:dyDescent="0.45">
      <c r="A41" t="s">
        <v>68</v>
      </c>
      <c r="B41" t="s">
        <v>11</v>
      </c>
      <c r="C41" t="s">
        <v>18</v>
      </c>
      <c r="D41" t="s">
        <v>19</v>
      </c>
      <c r="E41" t="s">
        <v>24</v>
      </c>
      <c r="F41" t="s">
        <v>15</v>
      </c>
      <c r="G41" s="7">
        <v>44966</v>
      </c>
      <c r="H41">
        <v>65</v>
      </c>
      <c r="I41">
        <v>480.59</v>
      </c>
      <c r="J41">
        <v>330.43</v>
      </c>
    </row>
    <row r="42" spans="1:10" x14ac:dyDescent="0.45">
      <c r="A42" t="s">
        <v>69</v>
      </c>
      <c r="B42" t="s">
        <v>11</v>
      </c>
      <c r="C42" t="s">
        <v>50</v>
      </c>
      <c r="D42" t="s">
        <v>42</v>
      </c>
      <c r="E42" t="s">
        <v>24</v>
      </c>
      <c r="F42" t="s">
        <v>20</v>
      </c>
      <c r="G42" s="7">
        <v>44967</v>
      </c>
      <c r="H42">
        <v>49</v>
      </c>
      <c r="I42">
        <v>210.87</v>
      </c>
      <c r="J42">
        <v>267.19</v>
      </c>
    </row>
    <row r="43" spans="1:10" x14ac:dyDescent="0.45">
      <c r="A43" t="s">
        <v>70</v>
      </c>
      <c r="B43" t="s">
        <v>11</v>
      </c>
      <c r="C43" t="s">
        <v>26</v>
      </c>
      <c r="D43" t="s">
        <v>27</v>
      </c>
      <c r="E43" t="s">
        <v>14</v>
      </c>
      <c r="F43" t="s">
        <v>15</v>
      </c>
      <c r="G43" s="7">
        <v>44968</v>
      </c>
      <c r="H43">
        <v>363</v>
      </c>
      <c r="I43">
        <v>423.89</v>
      </c>
      <c r="J43">
        <v>50.46</v>
      </c>
    </row>
    <row r="44" spans="1:10" x14ac:dyDescent="0.45">
      <c r="A44" t="s">
        <v>71</v>
      </c>
      <c r="B44" t="s">
        <v>48</v>
      </c>
      <c r="C44" t="s">
        <v>26</v>
      </c>
      <c r="D44" t="s">
        <v>42</v>
      </c>
      <c r="E44" t="s">
        <v>24</v>
      </c>
      <c r="F44" t="s">
        <v>28</v>
      </c>
      <c r="G44" s="7">
        <v>44969</v>
      </c>
      <c r="H44">
        <v>49</v>
      </c>
      <c r="I44">
        <v>316.24</v>
      </c>
      <c r="J44">
        <v>192.34</v>
      </c>
    </row>
    <row r="45" spans="1:10" x14ac:dyDescent="0.45">
      <c r="A45" t="s">
        <v>72</v>
      </c>
      <c r="B45" t="s">
        <v>17</v>
      </c>
      <c r="C45" t="s">
        <v>26</v>
      </c>
      <c r="D45" t="s">
        <v>42</v>
      </c>
      <c r="E45" t="s">
        <v>24</v>
      </c>
      <c r="F45" t="s">
        <v>28</v>
      </c>
      <c r="G45" s="7">
        <v>44970</v>
      </c>
      <c r="H45">
        <v>356</v>
      </c>
      <c r="I45">
        <v>369</v>
      </c>
      <c r="J45">
        <v>203.43</v>
      </c>
    </row>
    <row r="46" spans="1:10" x14ac:dyDescent="0.45">
      <c r="A46" t="s">
        <v>73</v>
      </c>
      <c r="B46" t="s">
        <v>17</v>
      </c>
      <c r="C46" t="s">
        <v>31</v>
      </c>
      <c r="D46" t="s">
        <v>42</v>
      </c>
      <c r="E46" t="s">
        <v>14</v>
      </c>
      <c r="F46" t="s">
        <v>20</v>
      </c>
      <c r="G46" s="7">
        <v>44971</v>
      </c>
      <c r="H46">
        <v>470</v>
      </c>
      <c r="I46">
        <v>255.39500000000001</v>
      </c>
      <c r="J46">
        <v>94.56</v>
      </c>
    </row>
    <row r="47" spans="1:10" x14ac:dyDescent="0.45">
      <c r="A47" t="s">
        <v>74</v>
      </c>
      <c r="B47" t="s">
        <v>17</v>
      </c>
      <c r="C47" t="s">
        <v>50</v>
      </c>
      <c r="D47" t="s">
        <v>13</v>
      </c>
      <c r="E47" t="s">
        <v>14</v>
      </c>
      <c r="F47" t="s">
        <v>28</v>
      </c>
      <c r="G47" s="7">
        <v>44972</v>
      </c>
      <c r="H47">
        <v>246</v>
      </c>
      <c r="I47">
        <v>254.9</v>
      </c>
      <c r="J47">
        <v>33.83</v>
      </c>
    </row>
    <row r="48" spans="1:10" x14ac:dyDescent="0.45">
      <c r="A48" t="s">
        <v>75</v>
      </c>
      <c r="B48" t="s">
        <v>17</v>
      </c>
      <c r="C48" t="s">
        <v>18</v>
      </c>
      <c r="D48" t="s">
        <v>23</v>
      </c>
      <c r="E48" t="s">
        <v>14</v>
      </c>
      <c r="F48" t="s">
        <v>28</v>
      </c>
      <c r="G48" s="7">
        <v>44973</v>
      </c>
      <c r="H48">
        <v>298</v>
      </c>
      <c r="I48">
        <v>273.93</v>
      </c>
      <c r="J48">
        <v>311.14</v>
      </c>
    </row>
    <row r="49" spans="1:10" x14ac:dyDescent="0.45">
      <c r="A49" t="s">
        <v>76</v>
      </c>
      <c r="B49" t="s">
        <v>11</v>
      </c>
      <c r="C49" t="s">
        <v>12</v>
      </c>
      <c r="D49" t="s">
        <v>42</v>
      </c>
      <c r="E49" t="s">
        <v>24</v>
      </c>
      <c r="F49" t="s">
        <v>28</v>
      </c>
      <c r="G49" s="7">
        <v>44974</v>
      </c>
      <c r="H49">
        <v>271</v>
      </c>
      <c r="I49">
        <v>259.43</v>
      </c>
      <c r="J49">
        <v>50.57</v>
      </c>
    </row>
    <row r="50" spans="1:10" x14ac:dyDescent="0.45">
      <c r="A50" t="s">
        <v>77</v>
      </c>
      <c r="B50" t="s">
        <v>48</v>
      </c>
      <c r="C50" t="s">
        <v>18</v>
      </c>
      <c r="D50" t="s">
        <v>23</v>
      </c>
      <c r="E50" t="s">
        <v>24</v>
      </c>
      <c r="F50" t="s">
        <v>15</v>
      </c>
      <c r="G50" s="7">
        <v>44975</v>
      </c>
      <c r="H50">
        <v>225</v>
      </c>
      <c r="I50">
        <v>296.08999999999997</v>
      </c>
      <c r="J50">
        <v>238.53</v>
      </c>
    </row>
    <row r="51" spans="1:10" x14ac:dyDescent="0.45">
      <c r="A51" t="s">
        <v>78</v>
      </c>
      <c r="B51" t="s">
        <v>17</v>
      </c>
      <c r="C51" t="s">
        <v>12</v>
      </c>
      <c r="D51" t="s">
        <v>19</v>
      </c>
      <c r="E51" t="s">
        <v>14</v>
      </c>
      <c r="F51" t="s">
        <v>15</v>
      </c>
      <c r="G51" s="7">
        <v>44976</v>
      </c>
      <c r="H51">
        <v>156</v>
      </c>
      <c r="I51">
        <v>19.55</v>
      </c>
      <c r="J51">
        <v>374.71</v>
      </c>
    </row>
    <row r="52" spans="1:10" x14ac:dyDescent="0.45">
      <c r="A52" t="s">
        <v>79</v>
      </c>
      <c r="B52" t="s">
        <v>11</v>
      </c>
      <c r="C52" t="s">
        <v>18</v>
      </c>
      <c r="D52" t="s">
        <v>27</v>
      </c>
      <c r="E52" t="s">
        <v>14</v>
      </c>
      <c r="F52" t="s">
        <v>28</v>
      </c>
      <c r="G52" s="7">
        <v>44977</v>
      </c>
      <c r="H52">
        <v>345</v>
      </c>
      <c r="I52">
        <v>200.78</v>
      </c>
      <c r="J52">
        <v>350.69</v>
      </c>
    </row>
    <row r="53" spans="1:10" x14ac:dyDescent="0.45">
      <c r="A53" t="s">
        <v>80</v>
      </c>
      <c r="B53" t="s">
        <v>48</v>
      </c>
      <c r="C53" t="s">
        <v>50</v>
      </c>
      <c r="D53" t="s">
        <v>19</v>
      </c>
      <c r="E53" t="s">
        <v>14</v>
      </c>
      <c r="F53" t="s">
        <v>20</v>
      </c>
      <c r="G53" s="7">
        <v>44978</v>
      </c>
      <c r="H53">
        <v>177</v>
      </c>
      <c r="I53">
        <v>305.06</v>
      </c>
      <c r="J53">
        <v>112.55</v>
      </c>
    </row>
    <row r="54" spans="1:10" x14ac:dyDescent="0.45">
      <c r="A54" t="s">
        <v>81</v>
      </c>
      <c r="B54" t="s">
        <v>11</v>
      </c>
      <c r="C54" t="s">
        <v>12</v>
      </c>
      <c r="D54" t="s">
        <v>19</v>
      </c>
      <c r="E54" t="s">
        <v>24</v>
      </c>
      <c r="F54" t="s">
        <v>15</v>
      </c>
      <c r="G54" s="7">
        <v>44979</v>
      </c>
      <c r="H54">
        <v>101</v>
      </c>
      <c r="I54">
        <v>300.87</v>
      </c>
      <c r="J54">
        <v>340.88</v>
      </c>
    </row>
    <row r="55" spans="1:10" x14ac:dyDescent="0.45">
      <c r="A55" t="s">
        <v>82</v>
      </c>
      <c r="B55" t="s">
        <v>17</v>
      </c>
      <c r="C55" t="s">
        <v>31</v>
      </c>
      <c r="D55" t="s">
        <v>13</v>
      </c>
      <c r="E55" t="s">
        <v>24</v>
      </c>
      <c r="F55" t="s">
        <v>20</v>
      </c>
      <c r="G55" s="7">
        <v>44980</v>
      </c>
      <c r="H55">
        <v>362</v>
      </c>
      <c r="I55">
        <v>397.51</v>
      </c>
      <c r="J55">
        <v>2.13</v>
      </c>
    </row>
    <row r="56" spans="1:10" x14ac:dyDescent="0.45">
      <c r="A56" t="s">
        <v>83</v>
      </c>
      <c r="B56" t="s">
        <v>11</v>
      </c>
      <c r="C56" t="s">
        <v>18</v>
      </c>
      <c r="D56" t="s">
        <v>27</v>
      </c>
      <c r="E56" t="s">
        <v>24</v>
      </c>
      <c r="F56" t="s">
        <v>28</v>
      </c>
      <c r="G56" s="7">
        <v>44981</v>
      </c>
      <c r="H56">
        <v>68</v>
      </c>
      <c r="I56">
        <v>329.23</v>
      </c>
      <c r="J56">
        <v>9.0399999999999991</v>
      </c>
    </row>
    <row r="57" spans="1:10" x14ac:dyDescent="0.45">
      <c r="A57" t="s">
        <v>84</v>
      </c>
      <c r="B57" t="s">
        <v>17</v>
      </c>
      <c r="C57" t="s">
        <v>18</v>
      </c>
      <c r="D57" t="s">
        <v>19</v>
      </c>
      <c r="E57" t="s">
        <v>24</v>
      </c>
      <c r="F57" t="s">
        <v>28</v>
      </c>
      <c r="G57" s="7">
        <v>44982</v>
      </c>
      <c r="H57">
        <v>68</v>
      </c>
      <c r="I57">
        <v>496.11</v>
      </c>
      <c r="J57">
        <v>241.82</v>
      </c>
    </row>
    <row r="58" spans="1:10" x14ac:dyDescent="0.45">
      <c r="A58" t="s">
        <v>85</v>
      </c>
      <c r="B58" t="s">
        <v>17</v>
      </c>
      <c r="C58" t="s">
        <v>12</v>
      </c>
      <c r="D58" t="s">
        <v>19</v>
      </c>
      <c r="E58" t="s">
        <v>14</v>
      </c>
      <c r="F58" t="s">
        <v>15</v>
      </c>
      <c r="G58" s="7">
        <v>44983</v>
      </c>
      <c r="H58">
        <v>313</v>
      </c>
      <c r="I58">
        <v>145.51</v>
      </c>
      <c r="J58">
        <v>147.19</v>
      </c>
    </row>
    <row r="59" spans="1:10" x14ac:dyDescent="0.45">
      <c r="A59" t="s">
        <v>86</v>
      </c>
      <c r="B59" t="s">
        <v>22</v>
      </c>
      <c r="C59" t="s">
        <v>31</v>
      </c>
      <c r="D59" t="s">
        <v>27</v>
      </c>
      <c r="E59" t="s">
        <v>14</v>
      </c>
      <c r="F59" t="s">
        <v>28</v>
      </c>
      <c r="G59" s="7">
        <v>44984</v>
      </c>
      <c r="H59">
        <v>178</v>
      </c>
      <c r="I59">
        <v>182.78</v>
      </c>
      <c r="J59">
        <v>155.81</v>
      </c>
    </row>
    <row r="60" spans="1:10" x14ac:dyDescent="0.45">
      <c r="A60" t="s">
        <v>87</v>
      </c>
      <c r="B60" t="s">
        <v>11</v>
      </c>
      <c r="C60" t="s">
        <v>31</v>
      </c>
      <c r="D60" t="s">
        <v>27</v>
      </c>
      <c r="E60" t="s">
        <v>14</v>
      </c>
      <c r="F60" t="s">
        <v>15</v>
      </c>
      <c r="G60" s="7">
        <v>44985</v>
      </c>
      <c r="H60">
        <v>278</v>
      </c>
      <c r="I60">
        <v>195</v>
      </c>
      <c r="J60">
        <v>226.65</v>
      </c>
    </row>
    <row r="61" spans="1:10" x14ac:dyDescent="0.45">
      <c r="A61" t="s">
        <v>88</v>
      </c>
      <c r="B61" t="s">
        <v>22</v>
      </c>
      <c r="C61" t="s">
        <v>50</v>
      </c>
      <c r="D61" t="s">
        <v>19</v>
      </c>
      <c r="E61" t="s">
        <v>14</v>
      </c>
      <c r="F61" t="s">
        <v>28</v>
      </c>
      <c r="G61" s="7">
        <v>44986</v>
      </c>
      <c r="H61">
        <v>372</v>
      </c>
      <c r="I61">
        <v>235.58</v>
      </c>
      <c r="J61">
        <v>78.33</v>
      </c>
    </row>
    <row r="62" spans="1:10" x14ac:dyDescent="0.45">
      <c r="A62" t="s">
        <v>89</v>
      </c>
      <c r="B62" t="s">
        <v>11</v>
      </c>
      <c r="C62" t="s">
        <v>31</v>
      </c>
      <c r="D62" t="s">
        <v>27</v>
      </c>
      <c r="E62" t="s">
        <v>24</v>
      </c>
      <c r="F62" t="s">
        <v>28</v>
      </c>
      <c r="G62" s="7">
        <v>44987</v>
      </c>
      <c r="H62">
        <v>54</v>
      </c>
      <c r="I62">
        <v>418.82</v>
      </c>
      <c r="J62">
        <v>86.28</v>
      </c>
    </row>
    <row r="63" spans="1:10" x14ac:dyDescent="0.45">
      <c r="A63" t="s">
        <v>90</v>
      </c>
      <c r="B63" t="s">
        <v>11</v>
      </c>
      <c r="C63" t="s">
        <v>31</v>
      </c>
      <c r="D63" t="s">
        <v>19</v>
      </c>
      <c r="E63" t="s">
        <v>24</v>
      </c>
      <c r="F63" t="s">
        <v>15</v>
      </c>
      <c r="G63" s="7">
        <v>44988</v>
      </c>
      <c r="H63">
        <v>354</v>
      </c>
      <c r="I63">
        <v>121.72</v>
      </c>
      <c r="J63">
        <v>194.87</v>
      </c>
    </row>
    <row r="64" spans="1:10" x14ac:dyDescent="0.45">
      <c r="A64" t="s">
        <v>91</v>
      </c>
      <c r="B64" t="s">
        <v>22</v>
      </c>
      <c r="C64" t="s">
        <v>31</v>
      </c>
      <c r="D64" t="s">
        <v>19</v>
      </c>
      <c r="E64" t="s">
        <v>14</v>
      </c>
      <c r="F64" t="s">
        <v>15</v>
      </c>
      <c r="G64" s="7">
        <v>44989</v>
      </c>
      <c r="H64">
        <v>190</v>
      </c>
      <c r="I64">
        <v>389.12</v>
      </c>
      <c r="J64">
        <v>302.19</v>
      </c>
    </row>
    <row r="65" spans="1:10" x14ac:dyDescent="0.45">
      <c r="A65" t="s">
        <v>92</v>
      </c>
      <c r="B65" t="s">
        <v>17</v>
      </c>
      <c r="C65" t="s">
        <v>26</v>
      </c>
      <c r="D65" t="s">
        <v>13</v>
      </c>
      <c r="E65" t="s">
        <v>14</v>
      </c>
      <c r="F65" t="s">
        <v>15</v>
      </c>
      <c r="G65" s="7">
        <v>44990</v>
      </c>
      <c r="H65">
        <v>179</v>
      </c>
      <c r="I65">
        <v>205.63</v>
      </c>
      <c r="J65">
        <v>248.56</v>
      </c>
    </row>
    <row r="66" spans="1:10" x14ac:dyDescent="0.45">
      <c r="A66" t="s">
        <v>93</v>
      </c>
      <c r="B66" t="s">
        <v>11</v>
      </c>
      <c r="C66" t="s">
        <v>50</v>
      </c>
      <c r="D66" t="s">
        <v>42</v>
      </c>
      <c r="E66" t="s">
        <v>24</v>
      </c>
      <c r="F66" t="s">
        <v>28</v>
      </c>
      <c r="G66" s="7">
        <v>44991</v>
      </c>
      <c r="H66">
        <v>365</v>
      </c>
      <c r="I66">
        <v>302.92</v>
      </c>
      <c r="J66">
        <v>120.35</v>
      </c>
    </row>
    <row r="67" spans="1:10" x14ac:dyDescent="0.45">
      <c r="A67" t="s">
        <v>94</v>
      </c>
      <c r="B67" t="s">
        <v>48</v>
      </c>
      <c r="C67" t="s">
        <v>18</v>
      </c>
      <c r="D67" t="s">
        <v>19</v>
      </c>
      <c r="E67" t="s">
        <v>14</v>
      </c>
      <c r="F67" t="s">
        <v>28</v>
      </c>
      <c r="G67" s="7">
        <v>44992</v>
      </c>
      <c r="H67">
        <v>200</v>
      </c>
      <c r="I67">
        <v>318.11</v>
      </c>
      <c r="J67">
        <v>173.27</v>
      </c>
    </row>
    <row r="68" spans="1:10" x14ac:dyDescent="0.45">
      <c r="A68" t="s">
        <v>95</v>
      </c>
      <c r="B68" t="s">
        <v>17</v>
      </c>
      <c r="C68" t="s">
        <v>12</v>
      </c>
      <c r="D68" t="s">
        <v>23</v>
      </c>
      <c r="E68" t="s">
        <v>24</v>
      </c>
      <c r="F68" t="s">
        <v>20</v>
      </c>
      <c r="G68" s="7">
        <v>44993</v>
      </c>
      <c r="H68">
        <v>164</v>
      </c>
      <c r="I68">
        <v>189.56</v>
      </c>
      <c r="J68">
        <v>69.92</v>
      </c>
    </row>
    <row r="69" spans="1:10" x14ac:dyDescent="0.45">
      <c r="A69" t="s">
        <v>96</v>
      </c>
      <c r="B69" t="s">
        <v>22</v>
      </c>
      <c r="C69" t="s">
        <v>18</v>
      </c>
      <c r="D69" t="s">
        <v>42</v>
      </c>
      <c r="E69" t="s">
        <v>14</v>
      </c>
      <c r="F69" t="s">
        <v>15</v>
      </c>
      <c r="G69" s="7">
        <v>44994</v>
      </c>
      <c r="H69">
        <v>431</v>
      </c>
      <c r="I69">
        <v>258.74</v>
      </c>
      <c r="J69">
        <v>31.7</v>
      </c>
    </row>
    <row r="70" spans="1:10" x14ac:dyDescent="0.45">
      <c r="A70" t="s">
        <v>97</v>
      </c>
      <c r="B70" t="s">
        <v>17</v>
      </c>
      <c r="C70" t="s">
        <v>50</v>
      </c>
      <c r="D70" t="s">
        <v>42</v>
      </c>
      <c r="E70" t="s">
        <v>14</v>
      </c>
      <c r="F70" t="s">
        <v>28</v>
      </c>
      <c r="G70" s="7">
        <v>44995</v>
      </c>
      <c r="H70">
        <v>197</v>
      </c>
      <c r="I70">
        <v>209.45</v>
      </c>
      <c r="J70">
        <v>313.51</v>
      </c>
    </row>
    <row r="71" spans="1:10" x14ac:dyDescent="0.45">
      <c r="A71" t="s">
        <v>98</v>
      </c>
      <c r="B71" t="s">
        <v>48</v>
      </c>
      <c r="C71" t="s">
        <v>12</v>
      </c>
      <c r="D71" t="s">
        <v>42</v>
      </c>
      <c r="E71" t="s">
        <v>14</v>
      </c>
      <c r="F71" t="s">
        <v>28</v>
      </c>
      <c r="G71" s="7">
        <v>44996</v>
      </c>
      <c r="H71">
        <v>16</v>
      </c>
      <c r="I71">
        <v>39.22</v>
      </c>
      <c r="J71">
        <v>107.62</v>
      </c>
    </row>
    <row r="72" spans="1:10" x14ac:dyDescent="0.45">
      <c r="A72" t="s">
        <v>99</v>
      </c>
      <c r="B72" t="s">
        <v>48</v>
      </c>
      <c r="C72" t="s">
        <v>50</v>
      </c>
      <c r="D72" t="s">
        <v>13</v>
      </c>
      <c r="E72" t="s">
        <v>14</v>
      </c>
      <c r="F72" t="s">
        <v>15</v>
      </c>
      <c r="G72" s="7">
        <v>44997</v>
      </c>
      <c r="H72">
        <v>142</v>
      </c>
      <c r="I72">
        <v>221.4</v>
      </c>
      <c r="J72">
        <v>72.75</v>
      </c>
    </row>
    <row r="73" spans="1:10" x14ac:dyDescent="0.45">
      <c r="A73" t="s">
        <v>100</v>
      </c>
      <c r="B73" t="s">
        <v>48</v>
      </c>
      <c r="C73" t="s">
        <v>31</v>
      </c>
      <c r="D73" t="s">
        <v>19</v>
      </c>
      <c r="E73" t="s">
        <v>14</v>
      </c>
      <c r="F73" t="s">
        <v>20</v>
      </c>
      <c r="G73" s="7">
        <v>44998</v>
      </c>
      <c r="H73">
        <v>244</v>
      </c>
      <c r="I73">
        <v>53.21</v>
      </c>
      <c r="J73">
        <v>277.26</v>
      </c>
    </row>
    <row r="74" spans="1:10" x14ac:dyDescent="0.45">
      <c r="A74" t="s">
        <v>101</v>
      </c>
      <c r="B74" t="s">
        <v>22</v>
      </c>
      <c r="C74" t="s">
        <v>12</v>
      </c>
      <c r="D74" t="s">
        <v>13</v>
      </c>
      <c r="E74" t="s">
        <v>14</v>
      </c>
      <c r="F74" t="s">
        <v>15</v>
      </c>
      <c r="G74" s="7">
        <v>44999</v>
      </c>
      <c r="H74">
        <v>54</v>
      </c>
      <c r="I74">
        <v>205.49</v>
      </c>
      <c r="J74">
        <v>247.98</v>
      </c>
    </row>
    <row r="75" spans="1:10" x14ac:dyDescent="0.45">
      <c r="A75" t="s">
        <v>102</v>
      </c>
      <c r="B75" t="s">
        <v>48</v>
      </c>
      <c r="C75" t="s">
        <v>31</v>
      </c>
      <c r="D75" t="s">
        <v>19</v>
      </c>
      <c r="E75" t="s">
        <v>14</v>
      </c>
      <c r="F75" t="s">
        <v>20</v>
      </c>
      <c r="G75" s="7">
        <v>45000</v>
      </c>
      <c r="H75">
        <v>323</v>
      </c>
      <c r="I75">
        <v>298.49</v>
      </c>
      <c r="J75">
        <v>254.01</v>
      </c>
    </row>
    <row r="76" spans="1:10" x14ac:dyDescent="0.45">
      <c r="A76" t="s">
        <v>103</v>
      </c>
      <c r="B76" t="s">
        <v>22</v>
      </c>
      <c r="C76" t="s">
        <v>18</v>
      </c>
      <c r="D76" t="s">
        <v>13</v>
      </c>
      <c r="E76" t="s">
        <v>24</v>
      </c>
      <c r="F76" t="s">
        <v>28</v>
      </c>
      <c r="G76" s="7">
        <v>45001</v>
      </c>
      <c r="H76">
        <v>258</v>
      </c>
      <c r="I76">
        <v>291.81</v>
      </c>
      <c r="J76">
        <v>93.1</v>
      </c>
    </row>
    <row r="77" spans="1:10" x14ac:dyDescent="0.45">
      <c r="A77" t="s">
        <v>104</v>
      </c>
      <c r="B77" t="s">
        <v>48</v>
      </c>
      <c r="C77" t="s">
        <v>18</v>
      </c>
      <c r="D77" t="s">
        <v>13</v>
      </c>
      <c r="E77" t="s">
        <v>24</v>
      </c>
      <c r="F77" t="s">
        <v>20</v>
      </c>
      <c r="G77" s="7">
        <v>45002</v>
      </c>
      <c r="H77">
        <v>40</v>
      </c>
      <c r="I77">
        <v>333</v>
      </c>
      <c r="J77">
        <v>94.59</v>
      </c>
    </row>
    <row r="78" spans="1:10" x14ac:dyDescent="0.45">
      <c r="A78" t="s">
        <v>105</v>
      </c>
      <c r="B78" t="s">
        <v>17</v>
      </c>
      <c r="C78" t="s">
        <v>12</v>
      </c>
      <c r="D78" t="s">
        <v>23</v>
      </c>
      <c r="E78" t="s">
        <v>24</v>
      </c>
      <c r="F78" t="s">
        <v>28</v>
      </c>
      <c r="G78" s="7">
        <v>45003</v>
      </c>
      <c r="H78">
        <v>32</v>
      </c>
      <c r="I78">
        <v>52.15</v>
      </c>
      <c r="J78">
        <v>89.88</v>
      </c>
    </row>
    <row r="79" spans="1:10" x14ac:dyDescent="0.45">
      <c r="A79" t="s">
        <v>106</v>
      </c>
      <c r="B79" t="s">
        <v>17</v>
      </c>
      <c r="C79" t="s">
        <v>12</v>
      </c>
      <c r="D79" t="s">
        <v>13</v>
      </c>
      <c r="E79" t="s">
        <v>24</v>
      </c>
      <c r="F79" t="s">
        <v>15</v>
      </c>
      <c r="G79" s="7">
        <v>45004</v>
      </c>
      <c r="H79">
        <v>435</v>
      </c>
      <c r="I79">
        <v>327.8</v>
      </c>
      <c r="J79">
        <v>71.150000000000006</v>
      </c>
    </row>
    <row r="80" spans="1:10" x14ac:dyDescent="0.45">
      <c r="A80" t="s">
        <v>107</v>
      </c>
      <c r="B80" t="s">
        <v>11</v>
      </c>
      <c r="C80" t="s">
        <v>50</v>
      </c>
      <c r="D80" t="s">
        <v>27</v>
      </c>
      <c r="E80" t="s">
        <v>24</v>
      </c>
      <c r="F80" t="s">
        <v>15</v>
      </c>
      <c r="G80" s="7">
        <v>45005</v>
      </c>
      <c r="H80">
        <v>403</v>
      </c>
      <c r="I80">
        <v>159.51</v>
      </c>
      <c r="J80">
        <v>262.98</v>
      </c>
    </row>
    <row r="81" spans="1:10" x14ac:dyDescent="0.45">
      <c r="A81" t="s">
        <v>108</v>
      </c>
      <c r="B81" t="s">
        <v>17</v>
      </c>
      <c r="C81" t="s">
        <v>50</v>
      </c>
      <c r="D81" t="s">
        <v>23</v>
      </c>
      <c r="E81" t="s">
        <v>14</v>
      </c>
      <c r="F81" t="s">
        <v>15</v>
      </c>
      <c r="G81" s="7">
        <v>45006</v>
      </c>
      <c r="H81">
        <v>169</v>
      </c>
      <c r="I81">
        <v>255.39500000000001</v>
      </c>
      <c r="J81">
        <v>339.51</v>
      </c>
    </row>
    <row r="82" spans="1:10" x14ac:dyDescent="0.45">
      <c r="A82" t="s">
        <v>109</v>
      </c>
      <c r="B82" t="s">
        <v>11</v>
      </c>
      <c r="C82" t="s">
        <v>31</v>
      </c>
      <c r="D82" t="s">
        <v>13</v>
      </c>
      <c r="E82" t="s">
        <v>14</v>
      </c>
      <c r="F82" t="s">
        <v>20</v>
      </c>
      <c r="G82" s="7">
        <v>45007</v>
      </c>
      <c r="H82">
        <v>372</v>
      </c>
      <c r="I82">
        <v>429.7</v>
      </c>
      <c r="J82">
        <v>290.27999999999997</v>
      </c>
    </row>
    <row r="83" spans="1:10" x14ac:dyDescent="0.45">
      <c r="A83" t="s">
        <v>110</v>
      </c>
      <c r="B83" t="s">
        <v>17</v>
      </c>
      <c r="C83" t="s">
        <v>12</v>
      </c>
      <c r="D83" t="s">
        <v>42</v>
      </c>
      <c r="E83" t="s">
        <v>24</v>
      </c>
      <c r="F83" t="s">
        <v>28</v>
      </c>
      <c r="G83" s="7">
        <v>45008</v>
      </c>
      <c r="H83">
        <v>446</v>
      </c>
      <c r="I83">
        <v>9.4700000000000006</v>
      </c>
      <c r="J83">
        <v>317.25</v>
      </c>
    </row>
    <row r="84" spans="1:10" x14ac:dyDescent="0.45">
      <c r="A84" t="s">
        <v>111</v>
      </c>
      <c r="B84" t="s">
        <v>22</v>
      </c>
      <c r="C84" t="s">
        <v>18</v>
      </c>
      <c r="D84" t="s">
        <v>27</v>
      </c>
      <c r="E84" t="s">
        <v>14</v>
      </c>
      <c r="F84" t="s">
        <v>15</v>
      </c>
      <c r="G84" s="7">
        <v>45009</v>
      </c>
      <c r="H84">
        <v>167</v>
      </c>
      <c r="I84">
        <v>296.26</v>
      </c>
      <c r="J84">
        <v>163.11000000000001</v>
      </c>
    </row>
    <row r="85" spans="1:10" x14ac:dyDescent="0.45">
      <c r="A85" t="s">
        <v>112</v>
      </c>
      <c r="B85" t="s">
        <v>17</v>
      </c>
      <c r="C85" t="s">
        <v>50</v>
      </c>
      <c r="D85" t="s">
        <v>27</v>
      </c>
      <c r="E85" t="s">
        <v>24</v>
      </c>
      <c r="F85" t="s">
        <v>15</v>
      </c>
      <c r="G85" s="7">
        <v>45010</v>
      </c>
      <c r="H85">
        <v>48</v>
      </c>
      <c r="I85">
        <v>301.36</v>
      </c>
      <c r="J85">
        <v>262.32</v>
      </c>
    </row>
    <row r="86" spans="1:10" x14ac:dyDescent="0.45">
      <c r="A86" t="s">
        <v>113</v>
      </c>
      <c r="B86" t="s">
        <v>11</v>
      </c>
      <c r="C86" t="s">
        <v>50</v>
      </c>
      <c r="D86" t="s">
        <v>27</v>
      </c>
      <c r="E86" t="s">
        <v>24</v>
      </c>
      <c r="F86" t="s">
        <v>28</v>
      </c>
      <c r="G86" s="7">
        <v>45011</v>
      </c>
      <c r="H86">
        <v>424</v>
      </c>
      <c r="I86">
        <v>201.35</v>
      </c>
      <c r="J86">
        <v>142.99</v>
      </c>
    </row>
    <row r="87" spans="1:10" x14ac:dyDescent="0.45">
      <c r="A87" t="s">
        <v>114</v>
      </c>
      <c r="B87" t="s">
        <v>11</v>
      </c>
      <c r="C87" t="s">
        <v>18</v>
      </c>
      <c r="D87" t="s">
        <v>23</v>
      </c>
      <c r="E87" t="s">
        <v>14</v>
      </c>
      <c r="F87" t="s">
        <v>15</v>
      </c>
      <c r="G87" s="7">
        <v>45012</v>
      </c>
      <c r="H87">
        <v>91</v>
      </c>
      <c r="I87">
        <v>122.33</v>
      </c>
      <c r="J87">
        <v>211.15</v>
      </c>
    </row>
    <row r="88" spans="1:10" x14ac:dyDescent="0.45">
      <c r="A88" t="s">
        <v>115</v>
      </c>
      <c r="B88" t="s">
        <v>48</v>
      </c>
      <c r="C88" t="s">
        <v>50</v>
      </c>
      <c r="D88" t="s">
        <v>13</v>
      </c>
      <c r="E88" t="s">
        <v>14</v>
      </c>
      <c r="F88" t="s">
        <v>28</v>
      </c>
      <c r="G88" s="7">
        <v>45013</v>
      </c>
      <c r="H88">
        <v>365</v>
      </c>
      <c r="I88">
        <v>121.16</v>
      </c>
      <c r="J88">
        <v>193.69</v>
      </c>
    </row>
    <row r="89" spans="1:10" x14ac:dyDescent="0.45">
      <c r="A89" t="s">
        <v>116</v>
      </c>
      <c r="B89" t="s">
        <v>22</v>
      </c>
      <c r="C89" t="s">
        <v>31</v>
      </c>
      <c r="D89" t="s">
        <v>13</v>
      </c>
      <c r="E89" t="s">
        <v>14</v>
      </c>
      <c r="F89" t="s">
        <v>28</v>
      </c>
      <c r="G89" s="7">
        <v>45014</v>
      </c>
      <c r="H89">
        <v>267</v>
      </c>
      <c r="I89">
        <v>442.44</v>
      </c>
      <c r="J89">
        <v>72.400000000000006</v>
      </c>
    </row>
    <row r="90" spans="1:10" x14ac:dyDescent="0.45">
      <c r="A90" t="s">
        <v>117</v>
      </c>
      <c r="B90" t="s">
        <v>17</v>
      </c>
      <c r="C90" t="s">
        <v>12</v>
      </c>
      <c r="D90" t="s">
        <v>42</v>
      </c>
      <c r="E90" t="s">
        <v>24</v>
      </c>
      <c r="F90" t="s">
        <v>28</v>
      </c>
      <c r="G90" s="7">
        <v>45015</v>
      </c>
      <c r="H90">
        <v>215</v>
      </c>
      <c r="I90">
        <v>223.8</v>
      </c>
      <c r="J90">
        <v>156.06</v>
      </c>
    </row>
    <row r="91" spans="1:10" x14ac:dyDescent="0.45">
      <c r="A91" t="s">
        <v>118</v>
      </c>
      <c r="B91" t="s">
        <v>48</v>
      </c>
      <c r="C91" t="s">
        <v>18</v>
      </c>
      <c r="D91" t="s">
        <v>42</v>
      </c>
      <c r="E91" t="s">
        <v>14</v>
      </c>
      <c r="F91" t="s">
        <v>28</v>
      </c>
      <c r="G91" s="7">
        <v>45016</v>
      </c>
      <c r="H91">
        <v>86</v>
      </c>
      <c r="I91">
        <v>168.79</v>
      </c>
      <c r="J91">
        <v>385.6</v>
      </c>
    </row>
    <row r="92" spans="1:10" x14ac:dyDescent="0.45">
      <c r="A92" t="s">
        <v>119</v>
      </c>
      <c r="B92" t="s">
        <v>17</v>
      </c>
      <c r="C92" t="s">
        <v>12</v>
      </c>
      <c r="D92" t="s">
        <v>27</v>
      </c>
      <c r="E92" t="s">
        <v>24</v>
      </c>
      <c r="F92" t="s">
        <v>28</v>
      </c>
      <c r="G92" s="7">
        <v>45017</v>
      </c>
      <c r="H92">
        <v>486</v>
      </c>
      <c r="I92">
        <v>227.14</v>
      </c>
      <c r="J92">
        <v>100.93</v>
      </c>
    </row>
    <row r="93" spans="1:10" x14ac:dyDescent="0.45">
      <c r="A93" t="s">
        <v>120</v>
      </c>
      <c r="B93" t="s">
        <v>17</v>
      </c>
      <c r="C93" t="s">
        <v>50</v>
      </c>
      <c r="D93" t="s">
        <v>42</v>
      </c>
      <c r="E93" t="s">
        <v>24</v>
      </c>
      <c r="F93" t="s">
        <v>20</v>
      </c>
      <c r="G93" s="7">
        <v>45018</v>
      </c>
      <c r="H93">
        <v>21</v>
      </c>
      <c r="I93">
        <v>255.39500000000001</v>
      </c>
      <c r="J93">
        <v>55.25</v>
      </c>
    </row>
    <row r="94" spans="1:10" x14ac:dyDescent="0.45">
      <c r="A94" t="s">
        <v>121</v>
      </c>
      <c r="B94" t="s">
        <v>48</v>
      </c>
      <c r="C94" t="s">
        <v>50</v>
      </c>
      <c r="D94" t="s">
        <v>23</v>
      </c>
      <c r="E94" t="s">
        <v>24</v>
      </c>
      <c r="F94" t="s">
        <v>15</v>
      </c>
      <c r="G94" s="7">
        <v>45019</v>
      </c>
      <c r="H94">
        <v>304</v>
      </c>
      <c r="I94">
        <v>77.150000000000006</v>
      </c>
      <c r="J94">
        <v>168.6</v>
      </c>
    </row>
    <row r="95" spans="1:10" x14ac:dyDescent="0.45">
      <c r="A95" t="s">
        <v>122</v>
      </c>
      <c r="B95" t="s">
        <v>48</v>
      </c>
      <c r="C95" t="s">
        <v>18</v>
      </c>
      <c r="D95" t="s">
        <v>13</v>
      </c>
      <c r="E95" t="s">
        <v>14</v>
      </c>
      <c r="F95" t="s">
        <v>20</v>
      </c>
      <c r="G95" s="7">
        <v>45020</v>
      </c>
      <c r="H95">
        <v>459</v>
      </c>
      <c r="I95">
        <v>227.47</v>
      </c>
      <c r="J95">
        <v>316.55</v>
      </c>
    </row>
    <row r="96" spans="1:10" x14ac:dyDescent="0.45">
      <c r="A96" t="s">
        <v>123</v>
      </c>
      <c r="B96" t="s">
        <v>48</v>
      </c>
      <c r="C96" t="s">
        <v>31</v>
      </c>
      <c r="D96" t="s">
        <v>27</v>
      </c>
      <c r="E96" t="s">
        <v>14</v>
      </c>
      <c r="F96" t="s">
        <v>15</v>
      </c>
      <c r="G96" s="7">
        <v>45021</v>
      </c>
      <c r="H96">
        <v>233</v>
      </c>
      <c r="I96">
        <v>296</v>
      </c>
      <c r="J96">
        <v>233.69</v>
      </c>
    </row>
    <row r="97" spans="1:10" x14ac:dyDescent="0.45">
      <c r="A97" t="s">
        <v>124</v>
      </c>
      <c r="B97" t="s">
        <v>48</v>
      </c>
      <c r="C97" t="s">
        <v>26</v>
      </c>
      <c r="D97" t="s">
        <v>42</v>
      </c>
      <c r="E97" t="s">
        <v>24</v>
      </c>
      <c r="F97" t="s">
        <v>20</v>
      </c>
      <c r="G97" s="7">
        <v>45022</v>
      </c>
      <c r="H97">
        <v>22</v>
      </c>
      <c r="I97">
        <v>474.55</v>
      </c>
      <c r="J97">
        <v>273.02999999999997</v>
      </c>
    </row>
    <row r="98" spans="1:10" x14ac:dyDescent="0.45">
      <c r="A98" t="s">
        <v>125</v>
      </c>
      <c r="B98" t="s">
        <v>48</v>
      </c>
      <c r="C98" t="s">
        <v>18</v>
      </c>
      <c r="D98" t="s">
        <v>23</v>
      </c>
      <c r="E98" t="s">
        <v>14</v>
      </c>
      <c r="F98" t="s">
        <v>28</v>
      </c>
      <c r="G98" s="7">
        <v>45023</v>
      </c>
      <c r="H98">
        <v>55</v>
      </c>
      <c r="I98">
        <v>130</v>
      </c>
      <c r="J98">
        <v>77.5</v>
      </c>
    </row>
    <row r="99" spans="1:10" x14ac:dyDescent="0.45">
      <c r="A99" t="s">
        <v>126</v>
      </c>
      <c r="B99" t="s">
        <v>17</v>
      </c>
      <c r="C99" t="s">
        <v>26</v>
      </c>
      <c r="D99" t="s">
        <v>23</v>
      </c>
      <c r="E99" t="s">
        <v>14</v>
      </c>
      <c r="F99" t="s">
        <v>15</v>
      </c>
      <c r="G99" s="7">
        <v>45024</v>
      </c>
      <c r="H99">
        <v>164</v>
      </c>
      <c r="I99">
        <v>182.83</v>
      </c>
      <c r="J99">
        <v>248.34</v>
      </c>
    </row>
    <row r="100" spans="1:10" x14ac:dyDescent="0.45">
      <c r="A100" t="s">
        <v>127</v>
      </c>
      <c r="B100" t="s">
        <v>48</v>
      </c>
      <c r="C100" t="s">
        <v>26</v>
      </c>
      <c r="D100" t="s">
        <v>42</v>
      </c>
      <c r="E100" t="s">
        <v>14</v>
      </c>
      <c r="F100" t="s">
        <v>15</v>
      </c>
      <c r="G100" s="7">
        <v>45025</v>
      </c>
      <c r="H100">
        <v>122</v>
      </c>
      <c r="I100">
        <v>192.78</v>
      </c>
      <c r="J100">
        <v>130.75</v>
      </c>
    </row>
    <row r="101" spans="1:10" x14ac:dyDescent="0.45">
      <c r="A101" t="s">
        <v>128</v>
      </c>
      <c r="B101" t="s">
        <v>22</v>
      </c>
      <c r="C101" t="s">
        <v>31</v>
      </c>
      <c r="D101" t="s">
        <v>13</v>
      </c>
      <c r="E101" t="s">
        <v>24</v>
      </c>
      <c r="F101" t="s">
        <v>20</v>
      </c>
      <c r="G101" s="7">
        <v>45026</v>
      </c>
      <c r="H101">
        <v>242</v>
      </c>
      <c r="I101">
        <v>304.74</v>
      </c>
      <c r="J101">
        <v>334.05</v>
      </c>
    </row>
    <row r="102" spans="1:10" x14ac:dyDescent="0.45">
      <c r="A102" t="s">
        <v>129</v>
      </c>
      <c r="B102" t="s">
        <v>11</v>
      </c>
      <c r="C102" t="s">
        <v>26</v>
      </c>
      <c r="D102" t="s">
        <v>42</v>
      </c>
      <c r="E102" t="s">
        <v>24</v>
      </c>
      <c r="F102" t="s">
        <v>20</v>
      </c>
      <c r="G102" s="7">
        <v>45027</v>
      </c>
      <c r="H102">
        <v>26</v>
      </c>
      <c r="I102">
        <v>181.58</v>
      </c>
      <c r="J102">
        <v>252.46</v>
      </c>
    </row>
    <row r="103" spans="1:10" x14ac:dyDescent="0.45">
      <c r="A103" t="s">
        <v>130</v>
      </c>
      <c r="B103" t="s">
        <v>48</v>
      </c>
      <c r="C103" t="s">
        <v>26</v>
      </c>
      <c r="D103" t="s">
        <v>27</v>
      </c>
      <c r="E103" t="s">
        <v>14</v>
      </c>
      <c r="F103" t="s">
        <v>15</v>
      </c>
      <c r="G103" s="7">
        <v>45028</v>
      </c>
      <c r="H103">
        <v>369</v>
      </c>
      <c r="I103">
        <v>269.08999999999997</v>
      </c>
      <c r="J103">
        <v>81.14</v>
      </c>
    </row>
    <row r="104" spans="1:10" x14ac:dyDescent="0.45">
      <c r="A104" t="s">
        <v>131</v>
      </c>
      <c r="B104" t="s">
        <v>48</v>
      </c>
      <c r="C104" t="s">
        <v>31</v>
      </c>
      <c r="D104" t="s">
        <v>42</v>
      </c>
      <c r="E104" t="s">
        <v>24</v>
      </c>
      <c r="F104" t="s">
        <v>20</v>
      </c>
      <c r="G104" s="7">
        <v>45029</v>
      </c>
      <c r="H104">
        <v>232</v>
      </c>
      <c r="I104">
        <v>391.99</v>
      </c>
      <c r="J104">
        <v>27.72</v>
      </c>
    </row>
    <row r="105" spans="1:10" x14ac:dyDescent="0.45">
      <c r="A105" t="s">
        <v>132</v>
      </c>
      <c r="B105" t="s">
        <v>17</v>
      </c>
      <c r="C105" t="s">
        <v>26</v>
      </c>
      <c r="D105" t="s">
        <v>23</v>
      </c>
      <c r="E105" t="s">
        <v>14</v>
      </c>
      <c r="F105" t="s">
        <v>20</v>
      </c>
      <c r="G105" s="7">
        <v>45030</v>
      </c>
      <c r="H105">
        <v>363</v>
      </c>
      <c r="I105">
        <v>354.17</v>
      </c>
      <c r="J105">
        <v>18.97</v>
      </c>
    </row>
    <row r="106" spans="1:10" x14ac:dyDescent="0.45">
      <c r="A106" t="s">
        <v>133</v>
      </c>
      <c r="B106" t="s">
        <v>48</v>
      </c>
      <c r="C106" t="s">
        <v>26</v>
      </c>
      <c r="D106" t="s">
        <v>42</v>
      </c>
      <c r="E106" t="s">
        <v>14</v>
      </c>
      <c r="F106" t="s">
        <v>20</v>
      </c>
      <c r="G106" s="7">
        <v>45031</v>
      </c>
      <c r="H106">
        <v>197</v>
      </c>
      <c r="I106">
        <v>225.95</v>
      </c>
      <c r="J106">
        <v>149.82</v>
      </c>
    </row>
    <row r="107" spans="1:10" x14ac:dyDescent="0.45">
      <c r="A107" t="s">
        <v>134</v>
      </c>
      <c r="B107" t="s">
        <v>48</v>
      </c>
      <c r="C107" t="s">
        <v>26</v>
      </c>
      <c r="D107" t="s">
        <v>13</v>
      </c>
      <c r="E107" t="s">
        <v>14</v>
      </c>
      <c r="F107" t="s">
        <v>28</v>
      </c>
      <c r="G107" s="7">
        <v>45032</v>
      </c>
      <c r="H107">
        <v>457</v>
      </c>
      <c r="I107">
        <v>432.79</v>
      </c>
      <c r="J107">
        <v>107.81</v>
      </c>
    </row>
    <row r="108" spans="1:10" x14ac:dyDescent="0.45">
      <c r="A108" t="s">
        <v>135</v>
      </c>
      <c r="B108" t="s">
        <v>48</v>
      </c>
      <c r="C108" t="s">
        <v>18</v>
      </c>
      <c r="D108" t="s">
        <v>19</v>
      </c>
      <c r="E108" t="s">
        <v>14</v>
      </c>
      <c r="F108" t="s">
        <v>28</v>
      </c>
      <c r="G108" s="7">
        <v>45033</v>
      </c>
      <c r="H108">
        <v>353</v>
      </c>
      <c r="I108">
        <v>281.27999999999997</v>
      </c>
      <c r="J108">
        <v>259.14</v>
      </c>
    </row>
    <row r="109" spans="1:10" x14ac:dyDescent="0.45">
      <c r="A109" t="s">
        <v>136</v>
      </c>
      <c r="B109" t="s">
        <v>17</v>
      </c>
      <c r="C109" t="s">
        <v>18</v>
      </c>
      <c r="D109" t="s">
        <v>42</v>
      </c>
      <c r="E109" t="s">
        <v>24</v>
      </c>
      <c r="F109" t="s">
        <v>20</v>
      </c>
      <c r="G109" s="7">
        <v>45034</v>
      </c>
      <c r="H109">
        <v>374</v>
      </c>
      <c r="I109">
        <v>272.25</v>
      </c>
      <c r="J109">
        <v>200.73</v>
      </c>
    </row>
    <row r="110" spans="1:10" x14ac:dyDescent="0.45">
      <c r="A110" t="s">
        <v>137</v>
      </c>
      <c r="B110" t="s">
        <v>48</v>
      </c>
      <c r="C110" t="s">
        <v>18</v>
      </c>
      <c r="D110" t="s">
        <v>13</v>
      </c>
      <c r="E110" t="s">
        <v>24</v>
      </c>
      <c r="F110" t="s">
        <v>20</v>
      </c>
      <c r="G110" s="7">
        <v>45035</v>
      </c>
      <c r="H110">
        <v>172</v>
      </c>
      <c r="I110">
        <v>21.92</v>
      </c>
      <c r="J110">
        <v>107.88</v>
      </c>
    </row>
    <row r="111" spans="1:10" x14ac:dyDescent="0.45">
      <c r="A111" t="s">
        <v>138</v>
      </c>
      <c r="B111" t="s">
        <v>11</v>
      </c>
      <c r="C111" t="s">
        <v>31</v>
      </c>
      <c r="D111" t="s">
        <v>13</v>
      </c>
      <c r="E111" t="s">
        <v>24</v>
      </c>
      <c r="F111" t="s">
        <v>28</v>
      </c>
      <c r="G111" s="7">
        <v>45036</v>
      </c>
      <c r="H111">
        <v>335</v>
      </c>
      <c r="I111">
        <v>493.41</v>
      </c>
      <c r="J111">
        <v>61.4</v>
      </c>
    </row>
    <row r="112" spans="1:10" x14ac:dyDescent="0.45">
      <c r="A112" t="s">
        <v>139</v>
      </c>
      <c r="B112" t="s">
        <v>17</v>
      </c>
      <c r="C112" t="s">
        <v>50</v>
      </c>
      <c r="D112" t="s">
        <v>23</v>
      </c>
      <c r="E112" t="s">
        <v>14</v>
      </c>
      <c r="F112" t="s">
        <v>28</v>
      </c>
      <c r="G112" s="7">
        <v>45037</v>
      </c>
      <c r="H112">
        <v>476</v>
      </c>
      <c r="I112">
        <v>65.87</v>
      </c>
      <c r="J112">
        <v>52.63</v>
      </c>
    </row>
    <row r="113" spans="1:10" x14ac:dyDescent="0.45">
      <c r="A113" t="s">
        <v>140</v>
      </c>
      <c r="B113" t="s">
        <v>11</v>
      </c>
      <c r="C113" t="s">
        <v>26</v>
      </c>
      <c r="D113" t="s">
        <v>13</v>
      </c>
      <c r="E113" t="s">
        <v>14</v>
      </c>
      <c r="F113" t="s">
        <v>15</v>
      </c>
      <c r="G113" s="7">
        <v>45038</v>
      </c>
      <c r="H113">
        <v>423</v>
      </c>
      <c r="I113">
        <v>119.41</v>
      </c>
      <c r="J113">
        <v>346.13</v>
      </c>
    </row>
    <row r="114" spans="1:10" x14ac:dyDescent="0.45">
      <c r="A114" t="s">
        <v>141</v>
      </c>
      <c r="B114" t="s">
        <v>17</v>
      </c>
      <c r="C114" t="s">
        <v>26</v>
      </c>
      <c r="D114" t="s">
        <v>13</v>
      </c>
      <c r="E114" t="s">
        <v>14</v>
      </c>
      <c r="F114" t="s">
        <v>15</v>
      </c>
      <c r="G114" s="7">
        <v>45039</v>
      </c>
      <c r="H114">
        <v>464</v>
      </c>
      <c r="I114">
        <v>30.59</v>
      </c>
      <c r="J114">
        <v>98.9</v>
      </c>
    </row>
    <row r="115" spans="1:10" x14ac:dyDescent="0.45">
      <c r="A115" t="s">
        <v>142</v>
      </c>
      <c r="B115" t="s">
        <v>48</v>
      </c>
      <c r="C115" t="s">
        <v>31</v>
      </c>
      <c r="D115" t="s">
        <v>13</v>
      </c>
      <c r="E115" t="s">
        <v>24</v>
      </c>
      <c r="F115" t="s">
        <v>28</v>
      </c>
      <c r="G115" s="7">
        <v>45040</v>
      </c>
      <c r="H115">
        <v>83</v>
      </c>
      <c r="I115">
        <v>321.8</v>
      </c>
      <c r="J115">
        <v>261.38</v>
      </c>
    </row>
    <row r="116" spans="1:10" x14ac:dyDescent="0.45">
      <c r="A116" t="s">
        <v>143</v>
      </c>
      <c r="B116" t="s">
        <v>11</v>
      </c>
      <c r="C116" t="s">
        <v>26</v>
      </c>
      <c r="D116" t="s">
        <v>13</v>
      </c>
      <c r="E116" t="s">
        <v>14</v>
      </c>
      <c r="F116" t="s">
        <v>20</v>
      </c>
      <c r="G116" s="7">
        <v>45041</v>
      </c>
      <c r="H116">
        <v>242</v>
      </c>
      <c r="I116">
        <v>116.23</v>
      </c>
      <c r="J116">
        <v>324.64999999999998</v>
      </c>
    </row>
    <row r="117" spans="1:10" x14ac:dyDescent="0.45">
      <c r="A117" t="s">
        <v>144</v>
      </c>
      <c r="B117" t="s">
        <v>17</v>
      </c>
      <c r="C117" t="s">
        <v>18</v>
      </c>
      <c r="D117" t="s">
        <v>27</v>
      </c>
      <c r="E117" t="s">
        <v>24</v>
      </c>
      <c r="F117" t="s">
        <v>20</v>
      </c>
      <c r="G117" s="7">
        <v>45042</v>
      </c>
      <c r="H117">
        <v>233</v>
      </c>
      <c r="I117">
        <v>94.11</v>
      </c>
      <c r="J117">
        <v>246.4</v>
      </c>
    </row>
    <row r="118" spans="1:10" x14ac:dyDescent="0.45">
      <c r="A118" t="s">
        <v>145</v>
      </c>
      <c r="B118" t="s">
        <v>22</v>
      </c>
      <c r="C118" t="s">
        <v>50</v>
      </c>
      <c r="D118" t="s">
        <v>27</v>
      </c>
      <c r="E118" t="s">
        <v>24</v>
      </c>
      <c r="F118" t="s">
        <v>20</v>
      </c>
      <c r="G118" s="7">
        <v>45043</v>
      </c>
      <c r="H118">
        <v>491</v>
      </c>
      <c r="I118">
        <v>48.84</v>
      </c>
      <c r="J118">
        <v>344.11</v>
      </c>
    </row>
    <row r="119" spans="1:10" x14ac:dyDescent="0.45">
      <c r="A119" t="s">
        <v>146</v>
      </c>
      <c r="B119" t="s">
        <v>17</v>
      </c>
      <c r="C119" t="s">
        <v>12</v>
      </c>
      <c r="D119" t="s">
        <v>23</v>
      </c>
      <c r="E119" t="s">
        <v>24</v>
      </c>
      <c r="F119" t="s">
        <v>20</v>
      </c>
      <c r="G119" s="7">
        <v>45044</v>
      </c>
      <c r="H119">
        <v>328</v>
      </c>
      <c r="I119">
        <v>56.14</v>
      </c>
      <c r="J119">
        <v>158.16999999999999</v>
      </c>
    </row>
    <row r="120" spans="1:10" x14ac:dyDescent="0.45">
      <c r="A120" t="s">
        <v>147</v>
      </c>
      <c r="B120" t="s">
        <v>17</v>
      </c>
      <c r="C120" t="s">
        <v>26</v>
      </c>
      <c r="D120" t="s">
        <v>42</v>
      </c>
      <c r="E120" t="s">
        <v>24</v>
      </c>
      <c r="F120" t="s">
        <v>15</v>
      </c>
      <c r="G120" s="7">
        <v>45045</v>
      </c>
      <c r="H120">
        <v>421</v>
      </c>
      <c r="I120">
        <v>294.41000000000003</v>
      </c>
      <c r="J120">
        <v>382.58</v>
      </c>
    </row>
    <row r="121" spans="1:10" x14ac:dyDescent="0.45">
      <c r="A121" t="s">
        <v>148</v>
      </c>
      <c r="B121" t="s">
        <v>22</v>
      </c>
      <c r="C121" t="s">
        <v>18</v>
      </c>
      <c r="D121" t="s">
        <v>13</v>
      </c>
      <c r="E121" t="s">
        <v>24</v>
      </c>
      <c r="F121" t="s">
        <v>28</v>
      </c>
      <c r="G121" s="7">
        <v>45046</v>
      </c>
      <c r="H121">
        <v>69</v>
      </c>
      <c r="I121">
        <v>345.66</v>
      </c>
      <c r="J121">
        <v>54.99</v>
      </c>
    </row>
    <row r="122" spans="1:10" x14ac:dyDescent="0.45">
      <c r="A122" t="s">
        <v>149</v>
      </c>
      <c r="B122" t="s">
        <v>17</v>
      </c>
      <c r="C122" t="s">
        <v>12</v>
      </c>
      <c r="D122" t="s">
        <v>42</v>
      </c>
      <c r="E122" t="s">
        <v>24</v>
      </c>
      <c r="F122" t="s">
        <v>20</v>
      </c>
      <c r="G122" s="7">
        <v>45047</v>
      </c>
      <c r="H122">
        <v>344</v>
      </c>
      <c r="I122">
        <v>201.7</v>
      </c>
      <c r="J122">
        <v>42.66</v>
      </c>
    </row>
    <row r="123" spans="1:10" x14ac:dyDescent="0.45">
      <c r="A123" t="s">
        <v>150</v>
      </c>
      <c r="B123" t="s">
        <v>17</v>
      </c>
      <c r="C123" t="s">
        <v>50</v>
      </c>
      <c r="D123" t="s">
        <v>42</v>
      </c>
      <c r="E123" t="s">
        <v>14</v>
      </c>
      <c r="F123" t="s">
        <v>15</v>
      </c>
      <c r="G123" s="7">
        <v>45048</v>
      </c>
      <c r="H123">
        <v>231</v>
      </c>
      <c r="I123">
        <v>242.55</v>
      </c>
      <c r="J123">
        <v>264.16000000000003</v>
      </c>
    </row>
    <row r="124" spans="1:10" x14ac:dyDescent="0.45">
      <c r="A124" t="s">
        <v>151</v>
      </c>
      <c r="B124" t="s">
        <v>48</v>
      </c>
      <c r="C124" t="s">
        <v>12</v>
      </c>
      <c r="D124" t="s">
        <v>23</v>
      </c>
      <c r="E124" t="s">
        <v>14</v>
      </c>
      <c r="F124" t="s">
        <v>20</v>
      </c>
      <c r="G124" s="7">
        <v>45049</v>
      </c>
      <c r="H124">
        <v>46</v>
      </c>
      <c r="I124">
        <v>344.55</v>
      </c>
      <c r="J124">
        <v>377.25</v>
      </c>
    </row>
    <row r="125" spans="1:10" x14ac:dyDescent="0.45">
      <c r="A125" t="s">
        <v>152</v>
      </c>
      <c r="B125" t="s">
        <v>11</v>
      </c>
      <c r="C125" t="s">
        <v>18</v>
      </c>
      <c r="D125" t="s">
        <v>13</v>
      </c>
      <c r="E125" t="s">
        <v>24</v>
      </c>
      <c r="F125" t="s">
        <v>28</v>
      </c>
      <c r="G125" s="7">
        <v>45050</v>
      </c>
      <c r="H125">
        <v>486</v>
      </c>
      <c r="I125">
        <v>13.6</v>
      </c>
      <c r="J125">
        <v>323.94</v>
      </c>
    </row>
    <row r="126" spans="1:10" x14ac:dyDescent="0.45">
      <c r="A126" t="s">
        <v>153</v>
      </c>
      <c r="B126" t="s">
        <v>22</v>
      </c>
      <c r="C126" t="s">
        <v>12</v>
      </c>
      <c r="D126" t="s">
        <v>13</v>
      </c>
      <c r="E126" t="s">
        <v>24</v>
      </c>
      <c r="F126" t="s">
        <v>15</v>
      </c>
      <c r="G126" s="7">
        <v>45051</v>
      </c>
      <c r="H126">
        <v>287</v>
      </c>
      <c r="I126">
        <v>164.95</v>
      </c>
      <c r="J126">
        <v>32.409999999999997</v>
      </c>
    </row>
    <row r="127" spans="1:10" x14ac:dyDescent="0.45">
      <c r="A127" t="s">
        <v>154</v>
      </c>
      <c r="B127" t="s">
        <v>17</v>
      </c>
      <c r="C127" t="s">
        <v>31</v>
      </c>
      <c r="D127" t="s">
        <v>19</v>
      </c>
      <c r="E127" t="s">
        <v>14</v>
      </c>
      <c r="F127" t="s">
        <v>28</v>
      </c>
      <c r="G127" s="7">
        <v>45052</v>
      </c>
      <c r="H127">
        <v>205</v>
      </c>
      <c r="I127">
        <v>486.68</v>
      </c>
      <c r="J127">
        <v>113.19</v>
      </c>
    </row>
    <row r="128" spans="1:10" x14ac:dyDescent="0.45">
      <c r="A128" t="s">
        <v>155</v>
      </c>
      <c r="B128" t="s">
        <v>48</v>
      </c>
      <c r="C128" t="s">
        <v>12</v>
      </c>
      <c r="D128" t="s">
        <v>42</v>
      </c>
      <c r="E128" t="s">
        <v>24</v>
      </c>
      <c r="F128" t="s">
        <v>28</v>
      </c>
      <c r="G128" s="7">
        <v>45053</v>
      </c>
      <c r="H128">
        <v>413</v>
      </c>
      <c r="I128">
        <v>292.16000000000003</v>
      </c>
      <c r="J128">
        <v>372.27</v>
      </c>
    </row>
    <row r="129" spans="1:10" x14ac:dyDescent="0.45">
      <c r="A129" t="s">
        <v>156</v>
      </c>
      <c r="B129" t="s">
        <v>22</v>
      </c>
      <c r="C129" t="s">
        <v>26</v>
      </c>
      <c r="D129" t="s">
        <v>42</v>
      </c>
      <c r="E129" t="s">
        <v>24</v>
      </c>
      <c r="F129" t="s">
        <v>15</v>
      </c>
      <c r="G129" s="7">
        <v>45054</v>
      </c>
      <c r="H129">
        <v>361</v>
      </c>
      <c r="I129">
        <v>130.84</v>
      </c>
      <c r="J129">
        <v>102.72</v>
      </c>
    </row>
    <row r="130" spans="1:10" x14ac:dyDescent="0.45">
      <c r="A130" t="s">
        <v>157</v>
      </c>
      <c r="B130" t="s">
        <v>17</v>
      </c>
      <c r="C130" t="s">
        <v>26</v>
      </c>
      <c r="D130" t="s">
        <v>27</v>
      </c>
      <c r="E130" t="s">
        <v>14</v>
      </c>
      <c r="F130" t="s">
        <v>15</v>
      </c>
      <c r="G130" s="7">
        <v>45055</v>
      </c>
      <c r="H130">
        <v>493</v>
      </c>
      <c r="I130">
        <v>263.26</v>
      </c>
      <c r="J130">
        <v>312.91000000000003</v>
      </c>
    </row>
    <row r="131" spans="1:10" x14ac:dyDescent="0.45">
      <c r="A131" t="s">
        <v>158</v>
      </c>
      <c r="B131" t="s">
        <v>17</v>
      </c>
      <c r="C131" t="s">
        <v>31</v>
      </c>
      <c r="D131" t="s">
        <v>19</v>
      </c>
      <c r="E131" t="s">
        <v>24</v>
      </c>
      <c r="F131" t="s">
        <v>15</v>
      </c>
      <c r="G131" s="7">
        <v>45056</v>
      </c>
      <c r="H131">
        <v>251</v>
      </c>
      <c r="I131">
        <v>174.61</v>
      </c>
      <c r="J131">
        <v>330.4</v>
      </c>
    </row>
    <row r="132" spans="1:10" x14ac:dyDescent="0.45">
      <c r="A132" t="s">
        <v>159</v>
      </c>
      <c r="B132" t="s">
        <v>17</v>
      </c>
      <c r="C132" t="s">
        <v>18</v>
      </c>
      <c r="D132" t="s">
        <v>27</v>
      </c>
      <c r="E132" t="s">
        <v>24</v>
      </c>
      <c r="F132" t="s">
        <v>15</v>
      </c>
      <c r="G132" s="7">
        <v>45057</v>
      </c>
      <c r="H132">
        <v>248.5</v>
      </c>
      <c r="I132">
        <v>268.45999999999998</v>
      </c>
      <c r="J132">
        <v>199.19</v>
      </c>
    </row>
    <row r="133" spans="1:10" x14ac:dyDescent="0.45">
      <c r="A133" t="s">
        <v>160</v>
      </c>
      <c r="B133" t="s">
        <v>22</v>
      </c>
      <c r="C133" t="s">
        <v>26</v>
      </c>
      <c r="D133" t="s">
        <v>27</v>
      </c>
      <c r="E133" t="s">
        <v>24</v>
      </c>
      <c r="F133" t="s">
        <v>15</v>
      </c>
      <c r="G133" s="7">
        <v>45058</v>
      </c>
      <c r="H133">
        <v>228</v>
      </c>
      <c r="I133">
        <v>67.239999999999995</v>
      </c>
      <c r="J133">
        <v>155.77000000000001</v>
      </c>
    </row>
    <row r="134" spans="1:10" x14ac:dyDescent="0.45">
      <c r="A134" t="s">
        <v>161</v>
      </c>
      <c r="B134" t="s">
        <v>22</v>
      </c>
      <c r="C134" t="s">
        <v>50</v>
      </c>
      <c r="D134" t="s">
        <v>27</v>
      </c>
      <c r="E134" t="s">
        <v>14</v>
      </c>
      <c r="F134" t="s">
        <v>15</v>
      </c>
      <c r="G134" s="7">
        <v>45059</v>
      </c>
      <c r="H134">
        <v>201</v>
      </c>
      <c r="I134">
        <v>70.69</v>
      </c>
      <c r="J134">
        <v>181.15</v>
      </c>
    </row>
    <row r="135" spans="1:10" x14ac:dyDescent="0.45">
      <c r="A135" t="s">
        <v>162</v>
      </c>
      <c r="B135" t="s">
        <v>22</v>
      </c>
      <c r="C135" t="s">
        <v>26</v>
      </c>
      <c r="D135" t="s">
        <v>23</v>
      </c>
      <c r="E135" t="s">
        <v>14</v>
      </c>
      <c r="F135" t="s">
        <v>15</v>
      </c>
      <c r="G135" s="7">
        <v>45060</v>
      </c>
      <c r="H135">
        <v>26</v>
      </c>
      <c r="I135">
        <v>76.05</v>
      </c>
      <c r="J135">
        <v>92.33</v>
      </c>
    </row>
    <row r="136" spans="1:10" x14ac:dyDescent="0.45">
      <c r="A136" t="s">
        <v>163</v>
      </c>
      <c r="B136" t="s">
        <v>11</v>
      </c>
      <c r="C136" t="s">
        <v>26</v>
      </c>
      <c r="D136" t="s">
        <v>23</v>
      </c>
      <c r="E136" t="s">
        <v>14</v>
      </c>
      <c r="F136" t="s">
        <v>20</v>
      </c>
      <c r="G136" s="7">
        <v>45061</v>
      </c>
      <c r="H136">
        <v>21</v>
      </c>
      <c r="I136">
        <v>470.21</v>
      </c>
      <c r="J136">
        <v>355.98</v>
      </c>
    </row>
    <row r="137" spans="1:10" x14ac:dyDescent="0.45">
      <c r="A137" t="s">
        <v>164</v>
      </c>
      <c r="B137" t="s">
        <v>22</v>
      </c>
      <c r="C137" t="s">
        <v>18</v>
      </c>
      <c r="D137" t="s">
        <v>27</v>
      </c>
      <c r="E137" t="s">
        <v>24</v>
      </c>
      <c r="F137" t="s">
        <v>28</v>
      </c>
      <c r="G137" s="7">
        <v>45062</v>
      </c>
      <c r="H137">
        <v>415</v>
      </c>
      <c r="I137">
        <v>367.78</v>
      </c>
      <c r="J137">
        <v>181.35</v>
      </c>
    </row>
    <row r="138" spans="1:10" x14ac:dyDescent="0.45">
      <c r="A138" t="s">
        <v>165</v>
      </c>
      <c r="B138" t="s">
        <v>22</v>
      </c>
      <c r="C138" t="s">
        <v>12</v>
      </c>
      <c r="D138" t="s">
        <v>19</v>
      </c>
      <c r="E138" t="s">
        <v>24</v>
      </c>
      <c r="F138" t="s">
        <v>15</v>
      </c>
      <c r="G138" s="7">
        <v>45063</v>
      </c>
      <c r="H138">
        <v>410</v>
      </c>
      <c r="I138">
        <v>85.38</v>
      </c>
      <c r="J138">
        <v>353.22</v>
      </c>
    </row>
    <row r="139" spans="1:10" x14ac:dyDescent="0.45">
      <c r="A139" t="s">
        <v>166</v>
      </c>
      <c r="B139" t="s">
        <v>22</v>
      </c>
      <c r="C139" t="s">
        <v>26</v>
      </c>
      <c r="D139" t="s">
        <v>42</v>
      </c>
      <c r="E139" t="s">
        <v>14</v>
      </c>
      <c r="F139" t="s">
        <v>20</v>
      </c>
      <c r="G139" s="7">
        <v>45064</v>
      </c>
      <c r="H139">
        <v>403</v>
      </c>
      <c r="I139">
        <v>98.23</v>
      </c>
      <c r="J139">
        <v>44.07</v>
      </c>
    </row>
    <row r="140" spans="1:10" x14ac:dyDescent="0.45">
      <c r="A140" t="s">
        <v>167</v>
      </c>
      <c r="B140" t="s">
        <v>11</v>
      </c>
      <c r="C140" t="s">
        <v>31</v>
      </c>
      <c r="D140" t="s">
        <v>19</v>
      </c>
      <c r="E140" t="s">
        <v>24</v>
      </c>
      <c r="F140" t="s">
        <v>20</v>
      </c>
      <c r="G140" s="7">
        <v>45065</v>
      </c>
      <c r="H140">
        <v>383</v>
      </c>
      <c r="I140">
        <v>366.76</v>
      </c>
      <c r="J140">
        <v>395.33</v>
      </c>
    </row>
    <row r="141" spans="1:10" x14ac:dyDescent="0.45">
      <c r="A141" t="s">
        <v>168</v>
      </c>
      <c r="B141" t="s">
        <v>22</v>
      </c>
      <c r="C141" t="s">
        <v>12</v>
      </c>
      <c r="D141" t="s">
        <v>13</v>
      </c>
      <c r="E141" t="s">
        <v>24</v>
      </c>
      <c r="F141" t="s">
        <v>20</v>
      </c>
      <c r="G141" s="7">
        <v>45066</v>
      </c>
      <c r="H141">
        <v>202</v>
      </c>
      <c r="I141">
        <v>82.3</v>
      </c>
      <c r="J141">
        <v>178.42</v>
      </c>
    </row>
    <row r="142" spans="1:10" x14ac:dyDescent="0.45">
      <c r="A142" t="s">
        <v>169</v>
      </c>
      <c r="B142" t="s">
        <v>17</v>
      </c>
      <c r="C142" t="s">
        <v>50</v>
      </c>
      <c r="D142" t="s">
        <v>23</v>
      </c>
      <c r="E142" t="s">
        <v>24</v>
      </c>
      <c r="F142" t="s">
        <v>28</v>
      </c>
      <c r="G142" s="7">
        <v>45067</v>
      </c>
      <c r="H142">
        <v>31</v>
      </c>
      <c r="I142">
        <v>121.11</v>
      </c>
      <c r="J142">
        <v>21.04</v>
      </c>
    </row>
    <row r="143" spans="1:10" x14ac:dyDescent="0.45">
      <c r="A143" t="s">
        <v>170</v>
      </c>
      <c r="B143" t="s">
        <v>22</v>
      </c>
      <c r="C143" t="s">
        <v>18</v>
      </c>
      <c r="D143" t="s">
        <v>42</v>
      </c>
      <c r="E143" t="s">
        <v>24</v>
      </c>
      <c r="F143" t="s">
        <v>15</v>
      </c>
      <c r="G143" s="7">
        <v>45068</v>
      </c>
      <c r="H143">
        <v>483</v>
      </c>
      <c r="I143">
        <v>481.86</v>
      </c>
      <c r="J143">
        <v>17.13</v>
      </c>
    </row>
    <row r="144" spans="1:10" x14ac:dyDescent="0.45">
      <c r="A144" t="s">
        <v>171</v>
      </c>
      <c r="B144" t="s">
        <v>17</v>
      </c>
      <c r="C144" t="s">
        <v>50</v>
      </c>
      <c r="D144" t="s">
        <v>42</v>
      </c>
      <c r="E144" t="s">
        <v>24</v>
      </c>
      <c r="F144" t="s">
        <v>20</v>
      </c>
      <c r="G144" s="7">
        <v>45069</v>
      </c>
      <c r="H144">
        <v>129</v>
      </c>
      <c r="I144">
        <v>131.38</v>
      </c>
      <c r="J144">
        <v>298.99</v>
      </c>
    </row>
    <row r="145" spans="1:10" x14ac:dyDescent="0.45">
      <c r="A145" t="s">
        <v>172</v>
      </c>
      <c r="B145" t="s">
        <v>17</v>
      </c>
      <c r="C145" t="s">
        <v>12</v>
      </c>
      <c r="D145" t="s">
        <v>13</v>
      </c>
      <c r="E145" t="s">
        <v>14</v>
      </c>
      <c r="F145" t="s">
        <v>28</v>
      </c>
      <c r="G145" s="7">
        <v>45070</v>
      </c>
      <c r="H145">
        <v>219</v>
      </c>
      <c r="I145">
        <v>332.51</v>
      </c>
      <c r="J145">
        <v>264.3</v>
      </c>
    </row>
    <row r="146" spans="1:10" x14ac:dyDescent="0.45">
      <c r="A146" t="s">
        <v>173</v>
      </c>
      <c r="B146" t="s">
        <v>17</v>
      </c>
      <c r="C146" t="s">
        <v>12</v>
      </c>
      <c r="D146" t="s">
        <v>13</v>
      </c>
      <c r="E146" t="s">
        <v>24</v>
      </c>
      <c r="F146" t="s">
        <v>28</v>
      </c>
      <c r="G146" s="7">
        <v>45071</v>
      </c>
      <c r="H146">
        <v>315</v>
      </c>
      <c r="I146">
        <v>489.42</v>
      </c>
      <c r="J146">
        <v>321.25</v>
      </c>
    </row>
    <row r="147" spans="1:10" x14ac:dyDescent="0.45">
      <c r="A147" t="s">
        <v>174</v>
      </c>
      <c r="B147" t="s">
        <v>11</v>
      </c>
      <c r="C147" t="s">
        <v>12</v>
      </c>
      <c r="D147" t="s">
        <v>27</v>
      </c>
      <c r="E147" t="s">
        <v>14</v>
      </c>
      <c r="F147" t="s">
        <v>28</v>
      </c>
      <c r="G147" s="7">
        <v>45072</v>
      </c>
      <c r="H147">
        <v>279</v>
      </c>
      <c r="I147">
        <v>190.28</v>
      </c>
      <c r="J147">
        <v>43.94</v>
      </c>
    </row>
    <row r="148" spans="1:10" x14ac:dyDescent="0.45">
      <c r="A148" t="s">
        <v>175</v>
      </c>
      <c r="B148" t="s">
        <v>11</v>
      </c>
      <c r="C148" t="s">
        <v>50</v>
      </c>
      <c r="D148" t="s">
        <v>23</v>
      </c>
      <c r="E148" t="s">
        <v>24</v>
      </c>
      <c r="F148" t="s">
        <v>20</v>
      </c>
      <c r="G148" s="7">
        <v>45073</v>
      </c>
      <c r="H148">
        <v>201</v>
      </c>
      <c r="I148">
        <v>13.67</v>
      </c>
      <c r="J148">
        <v>16.16</v>
      </c>
    </row>
    <row r="149" spans="1:10" x14ac:dyDescent="0.45">
      <c r="A149" t="s">
        <v>176</v>
      </c>
      <c r="B149" t="s">
        <v>11</v>
      </c>
      <c r="C149" t="s">
        <v>12</v>
      </c>
      <c r="D149" t="s">
        <v>23</v>
      </c>
      <c r="E149" t="s">
        <v>14</v>
      </c>
      <c r="F149" t="s">
        <v>15</v>
      </c>
      <c r="G149" s="7">
        <v>45074</v>
      </c>
      <c r="H149">
        <v>184</v>
      </c>
      <c r="I149">
        <v>125.85</v>
      </c>
      <c r="J149">
        <v>204.41</v>
      </c>
    </row>
    <row r="150" spans="1:10" x14ac:dyDescent="0.45">
      <c r="A150" t="s">
        <v>177</v>
      </c>
      <c r="B150" t="s">
        <v>22</v>
      </c>
      <c r="C150" t="s">
        <v>50</v>
      </c>
      <c r="D150" t="s">
        <v>19</v>
      </c>
      <c r="E150" t="s">
        <v>24</v>
      </c>
      <c r="F150" t="s">
        <v>20</v>
      </c>
      <c r="G150" s="7">
        <v>45075</v>
      </c>
      <c r="H150">
        <v>294</v>
      </c>
      <c r="I150">
        <v>416.28</v>
      </c>
      <c r="J150">
        <v>156.26</v>
      </c>
    </row>
    <row r="151" spans="1:10" x14ac:dyDescent="0.45">
      <c r="A151" t="s">
        <v>178</v>
      </c>
      <c r="B151" t="s">
        <v>17</v>
      </c>
      <c r="C151" t="s">
        <v>12</v>
      </c>
      <c r="D151" t="s">
        <v>27</v>
      </c>
      <c r="E151" t="s">
        <v>14</v>
      </c>
      <c r="F151" t="s">
        <v>20</v>
      </c>
      <c r="G151" s="7">
        <v>45076</v>
      </c>
      <c r="H151">
        <v>213</v>
      </c>
      <c r="I151">
        <v>432.98</v>
      </c>
      <c r="J151">
        <v>185.85</v>
      </c>
    </row>
    <row r="152" spans="1:10" x14ac:dyDescent="0.45">
      <c r="A152" t="s">
        <v>179</v>
      </c>
      <c r="B152" t="s">
        <v>11</v>
      </c>
      <c r="C152" t="s">
        <v>31</v>
      </c>
      <c r="D152" t="s">
        <v>27</v>
      </c>
      <c r="E152" t="s">
        <v>24</v>
      </c>
      <c r="F152" t="s">
        <v>15</v>
      </c>
      <c r="G152" s="7">
        <v>45077</v>
      </c>
      <c r="H152">
        <v>173</v>
      </c>
      <c r="I152">
        <v>385.42</v>
      </c>
      <c r="J152">
        <v>396.65</v>
      </c>
    </row>
    <row r="153" spans="1:10" x14ac:dyDescent="0.45">
      <c r="A153" t="s">
        <v>180</v>
      </c>
      <c r="B153" t="s">
        <v>11</v>
      </c>
      <c r="C153" t="s">
        <v>12</v>
      </c>
      <c r="D153" t="s">
        <v>27</v>
      </c>
      <c r="E153" t="s">
        <v>14</v>
      </c>
      <c r="F153" t="s">
        <v>15</v>
      </c>
      <c r="G153" s="7">
        <v>45078</v>
      </c>
      <c r="H153">
        <v>260</v>
      </c>
      <c r="I153">
        <v>60.99</v>
      </c>
      <c r="J153">
        <v>388.36</v>
      </c>
    </row>
    <row r="154" spans="1:10" x14ac:dyDescent="0.45">
      <c r="A154" t="s">
        <v>181</v>
      </c>
      <c r="B154" t="s">
        <v>22</v>
      </c>
      <c r="C154" t="s">
        <v>50</v>
      </c>
      <c r="D154" t="s">
        <v>27</v>
      </c>
      <c r="E154" t="s">
        <v>24</v>
      </c>
      <c r="F154" t="s">
        <v>15</v>
      </c>
      <c r="G154" s="7">
        <v>45079</v>
      </c>
      <c r="H154">
        <v>236</v>
      </c>
      <c r="I154">
        <v>398.78</v>
      </c>
      <c r="J154">
        <v>377.04</v>
      </c>
    </row>
    <row r="155" spans="1:10" x14ac:dyDescent="0.45">
      <c r="A155" t="s">
        <v>182</v>
      </c>
      <c r="B155" t="s">
        <v>11</v>
      </c>
      <c r="C155" t="s">
        <v>26</v>
      </c>
      <c r="D155" t="s">
        <v>23</v>
      </c>
      <c r="E155" t="s">
        <v>14</v>
      </c>
      <c r="F155" t="s">
        <v>28</v>
      </c>
      <c r="G155" s="7">
        <v>45080</v>
      </c>
      <c r="H155">
        <v>445</v>
      </c>
      <c r="I155">
        <v>459.75</v>
      </c>
      <c r="J155">
        <v>313.97000000000003</v>
      </c>
    </row>
    <row r="156" spans="1:10" x14ac:dyDescent="0.45">
      <c r="A156" t="s">
        <v>183</v>
      </c>
      <c r="B156" t="s">
        <v>22</v>
      </c>
      <c r="C156" t="s">
        <v>12</v>
      </c>
      <c r="D156" t="s">
        <v>23</v>
      </c>
      <c r="E156" t="s">
        <v>24</v>
      </c>
      <c r="F156" t="s">
        <v>15</v>
      </c>
      <c r="G156" s="7">
        <v>45081</v>
      </c>
      <c r="H156">
        <v>390</v>
      </c>
      <c r="I156">
        <v>302.3</v>
      </c>
      <c r="J156">
        <v>143.22999999999999</v>
      </c>
    </row>
    <row r="157" spans="1:10" x14ac:dyDescent="0.45">
      <c r="A157" t="s">
        <v>184</v>
      </c>
      <c r="B157" t="s">
        <v>48</v>
      </c>
      <c r="C157" t="s">
        <v>26</v>
      </c>
      <c r="D157" t="s">
        <v>27</v>
      </c>
      <c r="E157" t="s">
        <v>14</v>
      </c>
      <c r="F157" t="s">
        <v>20</v>
      </c>
      <c r="G157" s="7">
        <v>45082</v>
      </c>
      <c r="H157">
        <v>469</v>
      </c>
      <c r="I157">
        <v>470.73</v>
      </c>
      <c r="J157">
        <v>166.03</v>
      </c>
    </row>
    <row r="158" spans="1:10" x14ac:dyDescent="0.45">
      <c r="A158" t="s">
        <v>185</v>
      </c>
      <c r="B158" t="s">
        <v>11</v>
      </c>
      <c r="C158" t="s">
        <v>31</v>
      </c>
      <c r="D158" t="s">
        <v>19</v>
      </c>
      <c r="E158" t="s">
        <v>14</v>
      </c>
      <c r="F158" t="s">
        <v>15</v>
      </c>
      <c r="G158" s="7">
        <v>45083</v>
      </c>
      <c r="H158">
        <v>16</v>
      </c>
      <c r="I158">
        <v>255.39500000000001</v>
      </c>
      <c r="J158">
        <v>220.75</v>
      </c>
    </row>
    <row r="159" spans="1:10" x14ac:dyDescent="0.45">
      <c r="A159" t="s">
        <v>186</v>
      </c>
      <c r="B159" t="s">
        <v>48</v>
      </c>
      <c r="C159" t="s">
        <v>18</v>
      </c>
      <c r="D159" t="s">
        <v>42</v>
      </c>
      <c r="E159" t="s">
        <v>24</v>
      </c>
      <c r="F159" t="s">
        <v>20</v>
      </c>
      <c r="G159" s="7">
        <v>45084</v>
      </c>
      <c r="H159">
        <v>38</v>
      </c>
      <c r="I159">
        <v>335.15</v>
      </c>
      <c r="J159">
        <v>332.55</v>
      </c>
    </row>
    <row r="160" spans="1:10" x14ac:dyDescent="0.45">
      <c r="A160" t="s">
        <v>187</v>
      </c>
      <c r="B160" t="s">
        <v>22</v>
      </c>
      <c r="C160" t="s">
        <v>31</v>
      </c>
      <c r="D160" t="s">
        <v>13</v>
      </c>
      <c r="E160" t="s">
        <v>24</v>
      </c>
      <c r="F160" t="s">
        <v>28</v>
      </c>
      <c r="G160" s="7">
        <v>45085</v>
      </c>
      <c r="H160">
        <v>404</v>
      </c>
      <c r="I160">
        <v>290.70999999999998</v>
      </c>
      <c r="J160">
        <v>29.35</v>
      </c>
    </row>
    <row r="161" spans="1:10" x14ac:dyDescent="0.45">
      <c r="A161" t="s">
        <v>188</v>
      </c>
      <c r="B161" t="s">
        <v>17</v>
      </c>
      <c r="C161" t="s">
        <v>12</v>
      </c>
      <c r="D161" t="s">
        <v>19</v>
      </c>
      <c r="E161" t="s">
        <v>14</v>
      </c>
      <c r="F161" t="s">
        <v>20</v>
      </c>
      <c r="G161" s="7">
        <v>45086</v>
      </c>
      <c r="H161">
        <v>42</v>
      </c>
      <c r="I161">
        <v>177.54</v>
      </c>
      <c r="J161">
        <v>170.87</v>
      </c>
    </row>
    <row r="162" spans="1:10" x14ac:dyDescent="0.45">
      <c r="A162" t="s">
        <v>189</v>
      </c>
      <c r="B162" t="s">
        <v>11</v>
      </c>
      <c r="C162" t="s">
        <v>26</v>
      </c>
      <c r="D162" t="s">
        <v>27</v>
      </c>
      <c r="E162" t="s">
        <v>24</v>
      </c>
      <c r="F162" t="s">
        <v>20</v>
      </c>
      <c r="G162" s="7">
        <v>45087</v>
      </c>
      <c r="H162">
        <v>143</v>
      </c>
      <c r="I162">
        <v>83.85</v>
      </c>
      <c r="J162">
        <v>34.880000000000003</v>
      </c>
    </row>
    <row r="163" spans="1:10" x14ac:dyDescent="0.45">
      <c r="A163" t="s">
        <v>190</v>
      </c>
      <c r="B163" t="s">
        <v>22</v>
      </c>
      <c r="C163" t="s">
        <v>26</v>
      </c>
      <c r="D163" t="s">
        <v>23</v>
      </c>
      <c r="E163" t="s">
        <v>14</v>
      </c>
      <c r="F163" t="s">
        <v>15</v>
      </c>
      <c r="G163" s="7">
        <v>45088</v>
      </c>
      <c r="H163">
        <v>376</v>
      </c>
      <c r="I163">
        <v>304.45</v>
      </c>
      <c r="J163">
        <v>206.83</v>
      </c>
    </row>
    <row r="164" spans="1:10" x14ac:dyDescent="0.45">
      <c r="A164" t="s">
        <v>191</v>
      </c>
      <c r="B164" t="s">
        <v>17</v>
      </c>
      <c r="C164" t="s">
        <v>50</v>
      </c>
      <c r="D164" t="s">
        <v>42</v>
      </c>
      <c r="E164" t="s">
        <v>14</v>
      </c>
      <c r="F164" t="s">
        <v>15</v>
      </c>
      <c r="G164" s="7">
        <v>45089</v>
      </c>
      <c r="H164">
        <v>88</v>
      </c>
      <c r="I164">
        <v>162.47</v>
      </c>
      <c r="J164">
        <v>359.76</v>
      </c>
    </row>
    <row r="165" spans="1:10" x14ac:dyDescent="0.45">
      <c r="A165" t="s">
        <v>192</v>
      </c>
      <c r="B165" t="s">
        <v>17</v>
      </c>
      <c r="C165" t="s">
        <v>26</v>
      </c>
      <c r="D165" t="s">
        <v>13</v>
      </c>
      <c r="E165" t="s">
        <v>14</v>
      </c>
      <c r="F165" t="s">
        <v>20</v>
      </c>
      <c r="G165" s="7">
        <v>45090</v>
      </c>
      <c r="H165">
        <v>425</v>
      </c>
      <c r="I165">
        <v>433.89</v>
      </c>
      <c r="J165">
        <v>313.43</v>
      </c>
    </row>
    <row r="166" spans="1:10" x14ac:dyDescent="0.45">
      <c r="A166" t="s">
        <v>193</v>
      </c>
      <c r="B166" t="s">
        <v>48</v>
      </c>
      <c r="C166" t="s">
        <v>50</v>
      </c>
      <c r="D166" t="s">
        <v>13</v>
      </c>
      <c r="E166" t="s">
        <v>24</v>
      </c>
      <c r="F166" t="s">
        <v>15</v>
      </c>
      <c r="G166" s="7">
        <v>45091</v>
      </c>
      <c r="H166">
        <v>444</v>
      </c>
      <c r="I166">
        <v>496.7</v>
      </c>
      <c r="J166">
        <v>92.68</v>
      </c>
    </row>
    <row r="167" spans="1:10" x14ac:dyDescent="0.45">
      <c r="A167" t="s">
        <v>194</v>
      </c>
      <c r="B167" t="s">
        <v>22</v>
      </c>
      <c r="C167" t="s">
        <v>18</v>
      </c>
      <c r="D167" t="s">
        <v>19</v>
      </c>
      <c r="E167" t="s">
        <v>14</v>
      </c>
      <c r="F167" t="s">
        <v>28</v>
      </c>
      <c r="G167" s="7">
        <v>45092</v>
      </c>
      <c r="H167">
        <v>468</v>
      </c>
      <c r="I167">
        <v>377.45</v>
      </c>
      <c r="J167">
        <v>390.44</v>
      </c>
    </row>
    <row r="168" spans="1:10" x14ac:dyDescent="0.45">
      <c r="A168" t="s">
        <v>195</v>
      </c>
      <c r="B168" t="s">
        <v>17</v>
      </c>
      <c r="C168" t="s">
        <v>12</v>
      </c>
      <c r="D168" t="s">
        <v>27</v>
      </c>
      <c r="E168" t="s">
        <v>14</v>
      </c>
      <c r="F168" t="s">
        <v>28</v>
      </c>
      <c r="G168" s="7">
        <v>45093</v>
      </c>
      <c r="H168">
        <v>67</v>
      </c>
      <c r="I168">
        <v>49.79</v>
      </c>
      <c r="J168">
        <v>267.61</v>
      </c>
    </row>
    <row r="169" spans="1:10" x14ac:dyDescent="0.45">
      <c r="A169" t="s">
        <v>196</v>
      </c>
      <c r="B169" t="s">
        <v>11</v>
      </c>
      <c r="C169" t="s">
        <v>50</v>
      </c>
      <c r="D169" t="s">
        <v>42</v>
      </c>
      <c r="E169" t="s">
        <v>24</v>
      </c>
      <c r="F169" t="s">
        <v>15</v>
      </c>
      <c r="G169" s="7">
        <v>45094</v>
      </c>
      <c r="H169">
        <v>480</v>
      </c>
      <c r="I169">
        <v>147.9</v>
      </c>
      <c r="J169">
        <v>6.15</v>
      </c>
    </row>
    <row r="170" spans="1:10" x14ac:dyDescent="0.45">
      <c r="A170" t="s">
        <v>197</v>
      </c>
      <c r="B170" t="s">
        <v>11</v>
      </c>
      <c r="C170" t="s">
        <v>18</v>
      </c>
      <c r="D170" t="s">
        <v>27</v>
      </c>
      <c r="E170" t="s">
        <v>24</v>
      </c>
      <c r="F170" t="s">
        <v>28</v>
      </c>
      <c r="G170" s="7">
        <v>45095</v>
      </c>
      <c r="H170">
        <v>35</v>
      </c>
      <c r="I170">
        <v>59.01</v>
      </c>
      <c r="J170">
        <v>103.65</v>
      </c>
    </row>
    <row r="171" spans="1:10" x14ac:dyDescent="0.45">
      <c r="A171" t="s">
        <v>198</v>
      </c>
      <c r="B171" t="s">
        <v>48</v>
      </c>
      <c r="C171" t="s">
        <v>26</v>
      </c>
      <c r="D171" t="s">
        <v>42</v>
      </c>
      <c r="E171" t="s">
        <v>24</v>
      </c>
      <c r="F171" t="s">
        <v>15</v>
      </c>
      <c r="G171" s="7">
        <v>45096</v>
      </c>
      <c r="H171">
        <v>491</v>
      </c>
      <c r="I171">
        <v>327</v>
      </c>
      <c r="J171">
        <v>105.76</v>
      </c>
    </row>
    <row r="172" spans="1:10" x14ac:dyDescent="0.45">
      <c r="A172" t="s">
        <v>199</v>
      </c>
      <c r="B172" t="s">
        <v>17</v>
      </c>
      <c r="C172" t="s">
        <v>26</v>
      </c>
      <c r="D172" t="s">
        <v>19</v>
      </c>
      <c r="E172" t="s">
        <v>24</v>
      </c>
      <c r="F172" t="s">
        <v>20</v>
      </c>
      <c r="G172" s="7">
        <v>45097</v>
      </c>
      <c r="H172">
        <v>439</v>
      </c>
      <c r="I172">
        <v>383.77</v>
      </c>
      <c r="J172">
        <v>29.56</v>
      </c>
    </row>
    <row r="173" spans="1:10" x14ac:dyDescent="0.45">
      <c r="A173" t="s">
        <v>200</v>
      </c>
      <c r="B173" t="s">
        <v>22</v>
      </c>
      <c r="C173" t="s">
        <v>18</v>
      </c>
      <c r="D173" t="s">
        <v>19</v>
      </c>
      <c r="E173" t="s">
        <v>14</v>
      </c>
      <c r="F173" t="s">
        <v>20</v>
      </c>
      <c r="G173" s="7">
        <v>45098</v>
      </c>
      <c r="H173">
        <v>235</v>
      </c>
      <c r="I173">
        <v>463.21</v>
      </c>
      <c r="J173">
        <v>384.01</v>
      </c>
    </row>
    <row r="174" spans="1:10" x14ac:dyDescent="0.45">
      <c r="A174" t="s">
        <v>201</v>
      </c>
      <c r="B174" t="s">
        <v>11</v>
      </c>
      <c r="C174" t="s">
        <v>26</v>
      </c>
      <c r="D174" t="s">
        <v>13</v>
      </c>
      <c r="E174" t="s">
        <v>14</v>
      </c>
      <c r="F174" t="s">
        <v>28</v>
      </c>
      <c r="G174" s="7">
        <v>45099</v>
      </c>
      <c r="H174">
        <v>294</v>
      </c>
      <c r="I174">
        <v>221.9</v>
      </c>
      <c r="J174">
        <v>192.35</v>
      </c>
    </row>
    <row r="175" spans="1:10" x14ac:dyDescent="0.45">
      <c r="A175" t="s">
        <v>202</v>
      </c>
      <c r="B175" t="s">
        <v>17</v>
      </c>
      <c r="C175" t="s">
        <v>18</v>
      </c>
      <c r="D175" t="s">
        <v>27</v>
      </c>
      <c r="E175" t="s">
        <v>14</v>
      </c>
      <c r="F175" t="s">
        <v>15</v>
      </c>
      <c r="G175" s="7">
        <v>45100</v>
      </c>
      <c r="H175">
        <v>13</v>
      </c>
      <c r="I175">
        <v>451.18</v>
      </c>
      <c r="J175">
        <v>358.53</v>
      </c>
    </row>
    <row r="176" spans="1:10" x14ac:dyDescent="0.45">
      <c r="A176" t="s">
        <v>203</v>
      </c>
      <c r="B176" t="s">
        <v>17</v>
      </c>
      <c r="C176" t="s">
        <v>50</v>
      </c>
      <c r="D176" t="s">
        <v>13</v>
      </c>
      <c r="E176" t="s">
        <v>14</v>
      </c>
      <c r="F176" t="s">
        <v>15</v>
      </c>
      <c r="G176" s="7">
        <v>45101</v>
      </c>
      <c r="H176">
        <v>474</v>
      </c>
      <c r="I176">
        <v>439.56</v>
      </c>
      <c r="J176">
        <v>130.24</v>
      </c>
    </row>
    <row r="177" spans="1:10" x14ac:dyDescent="0.45">
      <c r="A177" t="s">
        <v>204</v>
      </c>
      <c r="B177" t="s">
        <v>48</v>
      </c>
      <c r="C177" t="s">
        <v>50</v>
      </c>
      <c r="D177" t="s">
        <v>27</v>
      </c>
      <c r="E177" t="s">
        <v>24</v>
      </c>
      <c r="F177" t="s">
        <v>28</v>
      </c>
      <c r="G177" s="7">
        <v>45102</v>
      </c>
      <c r="H177">
        <v>108</v>
      </c>
      <c r="I177">
        <v>162.01</v>
      </c>
      <c r="J177">
        <v>51.84</v>
      </c>
    </row>
    <row r="178" spans="1:10" x14ac:dyDescent="0.45">
      <c r="A178" t="s">
        <v>205</v>
      </c>
      <c r="B178" t="s">
        <v>11</v>
      </c>
      <c r="C178" t="s">
        <v>18</v>
      </c>
      <c r="D178" t="s">
        <v>13</v>
      </c>
      <c r="E178" t="s">
        <v>14</v>
      </c>
      <c r="F178" t="s">
        <v>20</v>
      </c>
      <c r="G178" s="7">
        <v>45103</v>
      </c>
      <c r="H178">
        <v>406</v>
      </c>
      <c r="I178">
        <v>435.11</v>
      </c>
      <c r="J178">
        <v>190.79</v>
      </c>
    </row>
    <row r="179" spans="1:10" x14ac:dyDescent="0.45">
      <c r="A179" t="s">
        <v>206</v>
      </c>
      <c r="B179" t="s">
        <v>11</v>
      </c>
      <c r="C179" t="s">
        <v>50</v>
      </c>
      <c r="D179" t="s">
        <v>23</v>
      </c>
      <c r="E179" t="s">
        <v>14</v>
      </c>
      <c r="F179" t="s">
        <v>28</v>
      </c>
      <c r="G179" s="7">
        <v>45104</v>
      </c>
      <c r="H179">
        <v>498</v>
      </c>
      <c r="I179">
        <v>190.96</v>
      </c>
      <c r="J179">
        <v>47.35</v>
      </c>
    </row>
    <row r="180" spans="1:10" x14ac:dyDescent="0.45">
      <c r="A180" t="s">
        <v>207</v>
      </c>
      <c r="B180" t="s">
        <v>22</v>
      </c>
      <c r="C180" t="s">
        <v>50</v>
      </c>
      <c r="D180" t="s">
        <v>23</v>
      </c>
      <c r="E180" t="s">
        <v>24</v>
      </c>
      <c r="F180" t="s">
        <v>20</v>
      </c>
      <c r="G180" s="7">
        <v>45105</v>
      </c>
      <c r="H180">
        <v>48</v>
      </c>
      <c r="I180">
        <v>151.94999999999999</v>
      </c>
      <c r="J180">
        <v>195.43</v>
      </c>
    </row>
    <row r="181" spans="1:10" x14ac:dyDescent="0.45">
      <c r="A181" t="s">
        <v>208</v>
      </c>
      <c r="B181" t="s">
        <v>11</v>
      </c>
      <c r="C181" t="s">
        <v>50</v>
      </c>
      <c r="D181" t="s">
        <v>23</v>
      </c>
      <c r="E181" t="s">
        <v>14</v>
      </c>
      <c r="F181" t="s">
        <v>15</v>
      </c>
      <c r="G181" s="7">
        <v>45106</v>
      </c>
      <c r="H181">
        <v>280</v>
      </c>
      <c r="I181">
        <v>326.29000000000002</v>
      </c>
      <c r="J181">
        <v>368.28</v>
      </c>
    </row>
    <row r="182" spans="1:10" x14ac:dyDescent="0.45">
      <c r="A182" t="s">
        <v>209</v>
      </c>
      <c r="B182" t="s">
        <v>22</v>
      </c>
      <c r="C182" t="s">
        <v>31</v>
      </c>
      <c r="D182" t="s">
        <v>23</v>
      </c>
      <c r="E182" t="s">
        <v>14</v>
      </c>
      <c r="F182" t="s">
        <v>20</v>
      </c>
      <c r="G182" s="7">
        <v>45107</v>
      </c>
      <c r="H182">
        <v>384</v>
      </c>
      <c r="I182">
        <v>167.55</v>
      </c>
      <c r="J182">
        <v>209.27</v>
      </c>
    </row>
    <row r="183" spans="1:10" x14ac:dyDescent="0.45">
      <c r="A183" t="s">
        <v>210</v>
      </c>
      <c r="B183" t="s">
        <v>11</v>
      </c>
      <c r="C183" t="s">
        <v>12</v>
      </c>
      <c r="D183" t="s">
        <v>42</v>
      </c>
      <c r="E183" t="s">
        <v>14</v>
      </c>
      <c r="F183" t="s">
        <v>28</v>
      </c>
      <c r="G183" s="7">
        <v>45108</v>
      </c>
      <c r="H183">
        <v>294</v>
      </c>
      <c r="I183">
        <v>316.95</v>
      </c>
      <c r="J183">
        <v>247.37</v>
      </c>
    </row>
    <row r="184" spans="1:10" x14ac:dyDescent="0.45">
      <c r="A184" t="s">
        <v>211</v>
      </c>
      <c r="B184" t="s">
        <v>48</v>
      </c>
      <c r="C184" t="s">
        <v>26</v>
      </c>
      <c r="D184" t="s">
        <v>23</v>
      </c>
      <c r="E184" t="s">
        <v>14</v>
      </c>
      <c r="F184" t="s">
        <v>15</v>
      </c>
      <c r="G184" s="7">
        <v>45109</v>
      </c>
      <c r="H184">
        <v>166</v>
      </c>
      <c r="I184">
        <v>306.87</v>
      </c>
      <c r="J184">
        <v>64.34</v>
      </c>
    </row>
    <row r="185" spans="1:10" x14ac:dyDescent="0.45">
      <c r="A185" t="s">
        <v>212</v>
      </c>
      <c r="B185" t="s">
        <v>11</v>
      </c>
      <c r="C185" t="s">
        <v>31</v>
      </c>
      <c r="D185" t="s">
        <v>19</v>
      </c>
      <c r="E185" t="s">
        <v>14</v>
      </c>
      <c r="F185" t="s">
        <v>28</v>
      </c>
      <c r="G185" s="7">
        <v>45110</v>
      </c>
      <c r="H185">
        <v>84</v>
      </c>
      <c r="I185">
        <v>283.89999999999998</v>
      </c>
      <c r="J185">
        <v>19.41</v>
      </c>
    </row>
    <row r="186" spans="1:10" x14ac:dyDescent="0.45">
      <c r="A186" t="s">
        <v>213</v>
      </c>
      <c r="B186" t="s">
        <v>22</v>
      </c>
      <c r="C186" t="s">
        <v>50</v>
      </c>
      <c r="D186" t="s">
        <v>19</v>
      </c>
      <c r="E186" t="s">
        <v>14</v>
      </c>
      <c r="F186" t="s">
        <v>28</v>
      </c>
      <c r="G186" s="7">
        <v>45111</v>
      </c>
      <c r="H186">
        <v>381</v>
      </c>
      <c r="I186">
        <v>193.31</v>
      </c>
      <c r="J186">
        <v>46.1</v>
      </c>
    </row>
    <row r="187" spans="1:10" x14ac:dyDescent="0.45">
      <c r="A187" t="s">
        <v>214</v>
      </c>
      <c r="B187" t="s">
        <v>22</v>
      </c>
      <c r="C187" t="s">
        <v>18</v>
      </c>
      <c r="D187" t="s">
        <v>42</v>
      </c>
      <c r="E187" t="s">
        <v>24</v>
      </c>
      <c r="F187" t="s">
        <v>20</v>
      </c>
      <c r="G187" s="7">
        <v>45112</v>
      </c>
      <c r="H187">
        <v>297</v>
      </c>
      <c r="I187">
        <v>276.51</v>
      </c>
      <c r="J187">
        <v>240.22</v>
      </c>
    </row>
    <row r="188" spans="1:10" x14ac:dyDescent="0.45">
      <c r="A188" t="s">
        <v>215</v>
      </c>
      <c r="B188" t="s">
        <v>48</v>
      </c>
      <c r="C188" t="s">
        <v>50</v>
      </c>
      <c r="D188" t="s">
        <v>23</v>
      </c>
      <c r="E188" t="s">
        <v>24</v>
      </c>
      <c r="F188" t="s">
        <v>28</v>
      </c>
      <c r="G188" s="7">
        <v>45113</v>
      </c>
      <c r="H188">
        <v>139</v>
      </c>
      <c r="I188">
        <v>300.26</v>
      </c>
      <c r="J188">
        <v>39.81</v>
      </c>
    </row>
    <row r="189" spans="1:10" x14ac:dyDescent="0.45">
      <c r="A189" t="s">
        <v>216</v>
      </c>
      <c r="B189" t="s">
        <v>11</v>
      </c>
      <c r="C189" t="s">
        <v>12</v>
      </c>
      <c r="D189" t="s">
        <v>23</v>
      </c>
      <c r="E189" t="s">
        <v>14</v>
      </c>
      <c r="F189" t="s">
        <v>20</v>
      </c>
      <c r="G189" s="7">
        <v>45114</v>
      </c>
      <c r="H189">
        <v>184</v>
      </c>
      <c r="I189">
        <v>275.12</v>
      </c>
      <c r="J189">
        <v>151.65</v>
      </c>
    </row>
    <row r="190" spans="1:10" x14ac:dyDescent="0.45">
      <c r="A190" t="s">
        <v>217</v>
      </c>
      <c r="B190" t="s">
        <v>11</v>
      </c>
      <c r="C190" t="s">
        <v>50</v>
      </c>
      <c r="D190" t="s">
        <v>23</v>
      </c>
      <c r="E190" t="s">
        <v>14</v>
      </c>
      <c r="F190" t="s">
        <v>15</v>
      </c>
      <c r="G190" s="7">
        <v>45115</v>
      </c>
      <c r="H190">
        <v>471</v>
      </c>
      <c r="I190">
        <v>224.99</v>
      </c>
      <c r="J190">
        <v>220.94</v>
      </c>
    </row>
    <row r="191" spans="1:10" x14ac:dyDescent="0.45">
      <c r="A191" t="s">
        <v>218</v>
      </c>
      <c r="B191" t="s">
        <v>48</v>
      </c>
      <c r="C191" t="s">
        <v>18</v>
      </c>
      <c r="D191" t="s">
        <v>13</v>
      </c>
      <c r="E191" t="s">
        <v>24</v>
      </c>
      <c r="F191" t="s">
        <v>20</v>
      </c>
      <c r="G191" s="7">
        <v>45116</v>
      </c>
      <c r="H191">
        <v>93</v>
      </c>
      <c r="I191">
        <v>12.26</v>
      </c>
      <c r="J191">
        <v>156.68</v>
      </c>
    </row>
    <row r="192" spans="1:10" x14ac:dyDescent="0.45">
      <c r="A192" t="s">
        <v>219</v>
      </c>
      <c r="B192" t="s">
        <v>11</v>
      </c>
      <c r="C192" t="s">
        <v>12</v>
      </c>
      <c r="D192" t="s">
        <v>27</v>
      </c>
      <c r="E192" t="s">
        <v>14</v>
      </c>
      <c r="F192" t="s">
        <v>15</v>
      </c>
      <c r="G192" s="7">
        <v>45117</v>
      </c>
      <c r="H192">
        <v>31</v>
      </c>
      <c r="I192">
        <v>295.60000000000002</v>
      </c>
      <c r="J192">
        <v>67.150000000000006</v>
      </c>
    </row>
    <row r="193" spans="1:10" x14ac:dyDescent="0.45">
      <c r="A193" t="s">
        <v>220</v>
      </c>
      <c r="B193" t="s">
        <v>11</v>
      </c>
      <c r="C193" t="s">
        <v>50</v>
      </c>
      <c r="D193" t="s">
        <v>13</v>
      </c>
      <c r="E193" t="s">
        <v>14</v>
      </c>
      <c r="F193" t="s">
        <v>20</v>
      </c>
      <c r="G193" s="7">
        <v>45118</v>
      </c>
      <c r="H193">
        <v>468</v>
      </c>
      <c r="I193">
        <v>88.38</v>
      </c>
      <c r="J193">
        <v>110.97</v>
      </c>
    </row>
    <row r="194" spans="1:10" x14ac:dyDescent="0.45">
      <c r="A194" t="s">
        <v>221</v>
      </c>
      <c r="B194" t="s">
        <v>22</v>
      </c>
      <c r="C194" t="s">
        <v>12</v>
      </c>
      <c r="D194" t="s">
        <v>27</v>
      </c>
      <c r="E194" t="s">
        <v>14</v>
      </c>
      <c r="F194" t="s">
        <v>28</v>
      </c>
      <c r="G194" s="7">
        <v>45119</v>
      </c>
      <c r="H194">
        <v>36</v>
      </c>
      <c r="I194">
        <v>323.08</v>
      </c>
      <c r="J194">
        <v>371.47</v>
      </c>
    </row>
    <row r="195" spans="1:10" x14ac:dyDescent="0.45">
      <c r="A195" t="s">
        <v>222</v>
      </c>
      <c r="B195" t="s">
        <v>11</v>
      </c>
      <c r="C195" t="s">
        <v>26</v>
      </c>
      <c r="D195" t="s">
        <v>23</v>
      </c>
      <c r="E195" t="s">
        <v>24</v>
      </c>
      <c r="F195" t="s">
        <v>20</v>
      </c>
      <c r="G195" s="7">
        <v>45120</v>
      </c>
      <c r="H195">
        <v>204</v>
      </c>
      <c r="I195">
        <v>380.88</v>
      </c>
      <c r="J195">
        <v>271.04000000000002</v>
      </c>
    </row>
    <row r="196" spans="1:10" x14ac:dyDescent="0.45">
      <c r="A196" t="s">
        <v>223</v>
      </c>
      <c r="B196" t="s">
        <v>11</v>
      </c>
      <c r="C196" t="s">
        <v>26</v>
      </c>
      <c r="D196" t="s">
        <v>23</v>
      </c>
      <c r="E196" t="s">
        <v>14</v>
      </c>
      <c r="F196" t="s">
        <v>20</v>
      </c>
      <c r="G196" s="7">
        <v>45121</v>
      </c>
      <c r="H196">
        <v>346</v>
      </c>
      <c r="I196">
        <v>252.72</v>
      </c>
      <c r="J196">
        <v>199.43</v>
      </c>
    </row>
    <row r="197" spans="1:10" x14ac:dyDescent="0.45">
      <c r="A197" t="s">
        <v>224</v>
      </c>
      <c r="B197" t="s">
        <v>48</v>
      </c>
      <c r="C197" t="s">
        <v>50</v>
      </c>
      <c r="D197" t="s">
        <v>13</v>
      </c>
      <c r="E197" t="s">
        <v>24</v>
      </c>
      <c r="F197" t="s">
        <v>15</v>
      </c>
      <c r="G197" s="7">
        <v>45122</v>
      </c>
      <c r="H197">
        <v>391</v>
      </c>
      <c r="I197">
        <v>273.47000000000003</v>
      </c>
      <c r="J197">
        <v>7.06</v>
      </c>
    </row>
    <row r="198" spans="1:10" x14ac:dyDescent="0.45">
      <c r="A198" t="s">
        <v>225</v>
      </c>
      <c r="B198" t="s">
        <v>48</v>
      </c>
      <c r="C198" t="s">
        <v>12</v>
      </c>
      <c r="D198" t="s">
        <v>13</v>
      </c>
      <c r="E198" t="s">
        <v>14</v>
      </c>
      <c r="F198" t="s">
        <v>28</v>
      </c>
      <c r="G198" s="7">
        <v>45123</v>
      </c>
      <c r="H198">
        <v>245</v>
      </c>
      <c r="I198">
        <v>475.98</v>
      </c>
      <c r="J198">
        <v>396.98</v>
      </c>
    </row>
    <row r="199" spans="1:10" x14ac:dyDescent="0.45">
      <c r="A199" t="s">
        <v>226</v>
      </c>
      <c r="B199" t="s">
        <v>17</v>
      </c>
      <c r="C199" t="s">
        <v>18</v>
      </c>
      <c r="D199" t="s">
        <v>27</v>
      </c>
      <c r="E199" t="s">
        <v>24</v>
      </c>
      <c r="F199" t="s">
        <v>20</v>
      </c>
      <c r="G199" s="7">
        <v>45124</v>
      </c>
      <c r="H199">
        <v>449</v>
      </c>
      <c r="I199">
        <v>424.35</v>
      </c>
      <c r="J199">
        <v>269.24</v>
      </c>
    </row>
    <row r="200" spans="1:10" x14ac:dyDescent="0.45">
      <c r="A200" t="s">
        <v>227</v>
      </c>
      <c r="B200" t="s">
        <v>22</v>
      </c>
      <c r="C200" t="s">
        <v>50</v>
      </c>
      <c r="D200" t="s">
        <v>19</v>
      </c>
      <c r="E200" t="s">
        <v>24</v>
      </c>
      <c r="F200" t="s">
        <v>28</v>
      </c>
      <c r="G200" s="7">
        <v>45125</v>
      </c>
      <c r="H200">
        <v>101</v>
      </c>
      <c r="I200">
        <v>457.55</v>
      </c>
      <c r="J200">
        <v>128.13999999999999</v>
      </c>
    </row>
    <row r="201" spans="1:10" x14ac:dyDescent="0.45">
      <c r="A201" t="s">
        <v>228</v>
      </c>
      <c r="B201" t="s">
        <v>11</v>
      </c>
      <c r="C201" t="s">
        <v>26</v>
      </c>
      <c r="D201" t="s">
        <v>27</v>
      </c>
      <c r="E201" t="s">
        <v>14</v>
      </c>
      <c r="F201" t="s">
        <v>20</v>
      </c>
      <c r="G201" s="7">
        <v>45126</v>
      </c>
      <c r="H201">
        <v>248.5</v>
      </c>
      <c r="I201">
        <v>407.81</v>
      </c>
      <c r="J201">
        <v>351.95</v>
      </c>
    </row>
    <row r="202" spans="1:10" x14ac:dyDescent="0.45">
      <c r="A202" t="s">
        <v>229</v>
      </c>
      <c r="B202" t="s">
        <v>11</v>
      </c>
      <c r="C202" t="s">
        <v>26</v>
      </c>
      <c r="D202" t="s">
        <v>13</v>
      </c>
      <c r="E202" t="s">
        <v>24</v>
      </c>
      <c r="F202" t="s">
        <v>20</v>
      </c>
      <c r="G202" s="7">
        <v>45127</v>
      </c>
      <c r="H202">
        <v>30</v>
      </c>
      <c r="I202">
        <v>58.91</v>
      </c>
      <c r="J202">
        <v>104.86</v>
      </c>
    </row>
    <row r="203" spans="1:10" x14ac:dyDescent="0.45">
      <c r="A203" t="s">
        <v>230</v>
      </c>
      <c r="B203" t="s">
        <v>17</v>
      </c>
      <c r="C203" t="s">
        <v>50</v>
      </c>
      <c r="D203" t="s">
        <v>13</v>
      </c>
      <c r="E203" t="s">
        <v>14</v>
      </c>
      <c r="F203" t="s">
        <v>28</v>
      </c>
      <c r="G203" s="7">
        <v>45128</v>
      </c>
      <c r="H203">
        <v>312</v>
      </c>
      <c r="I203">
        <v>78.75</v>
      </c>
      <c r="J203">
        <v>218.52</v>
      </c>
    </row>
    <row r="204" spans="1:10" x14ac:dyDescent="0.45">
      <c r="A204" t="s">
        <v>231</v>
      </c>
      <c r="B204" t="s">
        <v>11</v>
      </c>
      <c r="C204" t="s">
        <v>12</v>
      </c>
      <c r="D204" t="s">
        <v>42</v>
      </c>
      <c r="E204" t="s">
        <v>24</v>
      </c>
      <c r="F204" t="s">
        <v>20</v>
      </c>
      <c r="G204" s="7">
        <v>45129</v>
      </c>
      <c r="H204">
        <v>473</v>
      </c>
      <c r="I204">
        <v>265.68</v>
      </c>
      <c r="J204">
        <v>255.16</v>
      </c>
    </row>
    <row r="205" spans="1:10" x14ac:dyDescent="0.45">
      <c r="A205" t="s">
        <v>232</v>
      </c>
      <c r="B205" t="s">
        <v>22</v>
      </c>
      <c r="C205" t="s">
        <v>26</v>
      </c>
      <c r="D205" t="s">
        <v>13</v>
      </c>
      <c r="E205" t="s">
        <v>14</v>
      </c>
      <c r="F205" t="s">
        <v>28</v>
      </c>
      <c r="G205" s="7">
        <v>45130</v>
      </c>
      <c r="H205">
        <v>366</v>
      </c>
      <c r="I205">
        <v>126.8</v>
      </c>
      <c r="J205">
        <v>89.98</v>
      </c>
    </row>
    <row r="206" spans="1:10" x14ac:dyDescent="0.45">
      <c r="A206" t="s">
        <v>233</v>
      </c>
      <c r="B206" t="s">
        <v>17</v>
      </c>
      <c r="C206" t="s">
        <v>12</v>
      </c>
      <c r="D206" t="s">
        <v>42</v>
      </c>
      <c r="E206" t="s">
        <v>14</v>
      </c>
      <c r="F206" t="s">
        <v>20</v>
      </c>
      <c r="G206" s="7">
        <v>45131</v>
      </c>
      <c r="H206">
        <v>452</v>
      </c>
      <c r="I206">
        <v>240.96</v>
      </c>
      <c r="J206">
        <v>391.4</v>
      </c>
    </row>
    <row r="207" spans="1:10" x14ac:dyDescent="0.45">
      <c r="A207" t="s">
        <v>234</v>
      </c>
      <c r="B207" t="s">
        <v>22</v>
      </c>
      <c r="C207" t="s">
        <v>26</v>
      </c>
      <c r="D207" t="s">
        <v>19</v>
      </c>
      <c r="E207" t="s">
        <v>24</v>
      </c>
      <c r="F207" t="s">
        <v>15</v>
      </c>
      <c r="G207" s="7">
        <v>45132</v>
      </c>
      <c r="H207">
        <v>93</v>
      </c>
      <c r="I207">
        <v>200.21</v>
      </c>
      <c r="J207">
        <v>299.77999999999997</v>
      </c>
    </row>
    <row r="208" spans="1:10" x14ac:dyDescent="0.45">
      <c r="A208" t="s">
        <v>235</v>
      </c>
      <c r="B208" t="s">
        <v>17</v>
      </c>
      <c r="C208" t="s">
        <v>26</v>
      </c>
      <c r="D208" t="s">
        <v>27</v>
      </c>
      <c r="E208" t="s">
        <v>14</v>
      </c>
      <c r="F208" t="s">
        <v>28</v>
      </c>
      <c r="G208" s="7">
        <v>45133</v>
      </c>
      <c r="H208">
        <v>271</v>
      </c>
      <c r="I208">
        <v>276.95999999999998</v>
      </c>
      <c r="J208">
        <v>224.01</v>
      </c>
    </row>
    <row r="209" spans="1:10" x14ac:dyDescent="0.45">
      <c r="A209" t="s">
        <v>236</v>
      </c>
      <c r="B209" t="s">
        <v>17</v>
      </c>
      <c r="C209" t="s">
        <v>31</v>
      </c>
      <c r="D209" t="s">
        <v>27</v>
      </c>
      <c r="E209" t="s">
        <v>14</v>
      </c>
      <c r="F209" t="s">
        <v>20</v>
      </c>
      <c r="G209" s="7">
        <v>45134</v>
      </c>
      <c r="H209">
        <v>156</v>
      </c>
      <c r="I209">
        <v>374.7</v>
      </c>
      <c r="J209">
        <v>73.88</v>
      </c>
    </row>
    <row r="210" spans="1:10" x14ac:dyDescent="0.45">
      <c r="A210" t="s">
        <v>237</v>
      </c>
      <c r="B210" t="s">
        <v>48</v>
      </c>
      <c r="C210" t="s">
        <v>26</v>
      </c>
      <c r="D210" t="s">
        <v>42</v>
      </c>
      <c r="E210" t="s">
        <v>24</v>
      </c>
      <c r="F210" t="s">
        <v>20</v>
      </c>
      <c r="G210" s="7">
        <v>45135</v>
      </c>
      <c r="H210">
        <v>450</v>
      </c>
      <c r="I210">
        <v>359.17</v>
      </c>
      <c r="J210">
        <v>23.44</v>
      </c>
    </row>
    <row r="211" spans="1:10" x14ac:dyDescent="0.45">
      <c r="A211" t="s">
        <v>238</v>
      </c>
      <c r="B211" t="s">
        <v>22</v>
      </c>
      <c r="C211" t="s">
        <v>18</v>
      </c>
      <c r="D211" t="s">
        <v>27</v>
      </c>
      <c r="E211" t="s">
        <v>14</v>
      </c>
      <c r="F211" t="s">
        <v>15</v>
      </c>
      <c r="G211" s="7">
        <v>45136</v>
      </c>
      <c r="H211">
        <v>462</v>
      </c>
      <c r="I211">
        <v>263.01</v>
      </c>
      <c r="J211">
        <v>129.38</v>
      </c>
    </row>
    <row r="212" spans="1:10" x14ac:dyDescent="0.45">
      <c r="A212" t="s">
        <v>239</v>
      </c>
      <c r="B212" t="s">
        <v>11</v>
      </c>
      <c r="C212" t="s">
        <v>50</v>
      </c>
      <c r="D212" t="s">
        <v>13</v>
      </c>
      <c r="E212" t="s">
        <v>14</v>
      </c>
      <c r="F212" t="s">
        <v>28</v>
      </c>
      <c r="G212" s="7">
        <v>45137</v>
      </c>
      <c r="H212">
        <v>396</v>
      </c>
      <c r="I212">
        <v>412.08</v>
      </c>
      <c r="J212">
        <v>301.77</v>
      </c>
    </row>
    <row r="213" spans="1:10" x14ac:dyDescent="0.45">
      <c r="A213" t="s">
        <v>240</v>
      </c>
      <c r="B213" t="s">
        <v>11</v>
      </c>
      <c r="C213" t="s">
        <v>50</v>
      </c>
      <c r="D213" t="s">
        <v>23</v>
      </c>
      <c r="E213" t="s">
        <v>24</v>
      </c>
      <c r="F213" t="s">
        <v>20</v>
      </c>
      <c r="G213" s="7">
        <v>45138</v>
      </c>
      <c r="H213">
        <v>266</v>
      </c>
      <c r="I213">
        <v>218.28</v>
      </c>
      <c r="J213">
        <v>109.19</v>
      </c>
    </row>
    <row r="214" spans="1:10" x14ac:dyDescent="0.45">
      <c r="A214" t="s">
        <v>241</v>
      </c>
      <c r="B214" t="s">
        <v>22</v>
      </c>
      <c r="C214" t="s">
        <v>12</v>
      </c>
      <c r="D214" t="s">
        <v>42</v>
      </c>
      <c r="E214" t="s">
        <v>24</v>
      </c>
      <c r="F214" t="s">
        <v>15</v>
      </c>
      <c r="G214" s="7">
        <v>45139</v>
      </c>
      <c r="H214">
        <v>67</v>
      </c>
      <c r="I214">
        <v>448.87</v>
      </c>
      <c r="J214">
        <v>216.74</v>
      </c>
    </row>
    <row r="215" spans="1:10" x14ac:dyDescent="0.45">
      <c r="A215" t="s">
        <v>242</v>
      </c>
      <c r="B215" t="s">
        <v>11</v>
      </c>
      <c r="C215" t="s">
        <v>26</v>
      </c>
      <c r="D215" t="s">
        <v>27</v>
      </c>
      <c r="E215" t="s">
        <v>14</v>
      </c>
      <c r="F215" t="s">
        <v>20</v>
      </c>
      <c r="G215" s="7">
        <v>45140</v>
      </c>
      <c r="H215">
        <v>389</v>
      </c>
      <c r="I215">
        <v>40.28</v>
      </c>
      <c r="J215">
        <v>291.72000000000003</v>
      </c>
    </row>
    <row r="216" spans="1:10" x14ac:dyDescent="0.45">
      <c r="A216" t="s">
        <v>243</v>
      </c>
      <c r="B216" t="s">
        <v>11</v>
      </c>
      <c r="C216" t="s">
        <v>18</v>
      </c>
      <c r="D216" t="s">
        <v>42</v>
      </c>
      <c r="E216" t="s">
        <v>14</v>
      </c>
      <c r="F216" t="s">
        <v>28</v>
      </c>
      <c r="G216" s="7">
        <v>45141</v>
      </c>
      <c r="H216">
        <v>431</v>
      </c>
      <c r="I216">
        <v>477.56</v>
      </c>
      <c r="J216">
        <v>44.96</v>
      </c>
    </row>
    <row r="217" spans="1:10" x14ac:dyDescent="0.45">
      <c r="A217" t="s">
        <v>244</v>
      </c>
      <c r="B217" t="s">
        <v>22</v>
      </c>
      <c r="C217" t="s">
        <v>12</v>
      </c>
      <c r="D217" t="s">
        <v>42</v>
      </c>
      <c r="E217" t="s">
        <v>24</v>
      </c>
      <c r="F217" t="s">
        <v>20</v>
      </c>
      <c r="G217" s="7">
        <v>45142</v>
      </c>
      <c r="H217">
        <v>24</v>
      </c>
      <c r="I217">
        <v>329.07</v>
      </c>
      <c r="J217">
        <v>274.75</v>
      </c>
    </row>
    <row r="218" spans="1:10" x14ac:dyDescent="0.45">
      <c r="A218" t="s">
        <v>245</v>
      </c>
      <c r="B218" t="s">
        <v>17</v>
      </c>
      <c r="C218" t="s">
        <v>31</v>
      </c>
      <c r="D218" t="s">
        <v>23</v>
      </c>
      <c r="E218" t="s">
        <v>24</v>
      </c>
      <c r="F218" t="s">
        <v>20</v>
      </c>
      <c r="G218" s="7">
        <v>45143</v>
      </c>
      <c r="H218">
        <v>171</v>
      </c>
      <c r="I218">
        <v>193.14</v>
      </c>
      <c r="J218">
        <v>38.56</v>
      </c>
    </row>
    <row r="219" spans="1:10" x14ac:dyDescent="0.45">
      <c r="A219" t="s">
        <v>246</v>
      </c>
      <c r="B219" t="s">
        <v>22</v>
      </c>
      <c r="C219" t="s">
        <v>12</v>
      </c>
      <c r="D219" t="s">
        <v>13</v>
      </c>
      <c r="E219" t="s">
        <v>14</v>
      </c>
      <c r="F219" t="s">
        <v>20</v>
      </c>
      <c r="G219" s="7">
        <v>45144</v>
      </c>
      <c r="H219">
        <v>454</v>
      </c>
      <c r="I219">
        <v>102.59</v>
      </c>
      <c r="J219">
        <v>386.12</v>
      </c>
    </row>
    <row r="220" spans="1:10" x14ac:dyDescent="0.45">
      <c r="A220" t="s">
        <v>247</v>
      </c>
      <c r="B220" t="s">
        <v>17</v>
      </c>
      <c r="C220" t="s">
        <v>12</v>
      </c>
      <c r="D220" t="s">
        <v>42</v>
      </c>
      <c r="E220" t="s">
        <v>24</v>
      </c>
      <c r="F220" t="s">
        <v>20</v>
      </c>
      <c r="G220" s="7">
        <v>45145</v>
      </c>
      <c r="H220">
        <v>172</v>
      </c>
      <c r="I220">
        <v>242.2</v>
      </c>
      <c r="J220">
        <v>196.38</v>
      </c>
    </row>
    <row r="221" spans="1:10" x14ac:dyDescent="0.45">
      <c r="A221" t="s">
        <v>248</v>
      </c>
      <c r="B221" t="s">
        <v>11</v>
      </c>
      <c r="C221" t="s">
        <v>26</v>
      </c>
      <c r="D221" t="s">
        <v>27</v>
      </c>
      <c r="E221" t="s">
        <v>14</v>
      </c>
      <c r="F221" t="s">
        <v>15</v>
      </c>
      <c r="G221" s="7">
        <v>45146</v>
      </c>
      <c r="H221">
        <v>329</v>
      </c>
      <c r="I221">
        <v>101.31</v>
      </c>
      <c r="J221">
        <v>61.97</v>
      </c>
    </row>
    <row r="222" spans="1:10" x14ac:dyDescent="0.45">
      <c r="A222" t="s">
        <v>249</v>
      </c>
      <c r="B222" t="s">
        <v>11</v>
      </c>
      <c r="C222" t="s">
        <v>31</v>
      </c>
      <c r="D222" t="s">
        <v>19</v>
      </c>
      <c r="E222" t="s">
        <v>14</v>
      </c>
      <c r="F222" t="s">
        <v>15</v>
      </c>
      <c r="G222" s="7">
        <v>45147</v>
      </c>
      <c r="H222">
        <v>290</v>
      </c>
      <c r="I222">
        <v>87.33</v>
      </c>
      <c r="J222">
        <v>138.27000000000001</v>
      </c>
    </row>
    <row r="223" spans="1:10" x14ac:dyDescent="0.45">
      <c r="A223" t="s">
        <v>250</v>
      </c>
      <c r="B223" t="s">
        <v>17</v>
      </c>
      <c r="C223" t="s">
        <v>12</v>
      </c>
      <c r="D223" t="s">
        <v>42</v>
      </c>
      <c r="E223" t="s">
        <v>14</v>
      </c>
      <c r="F223" t="s">
        <v>28</v>
      </c>
      <c r="G223" s="7">
        <v>45148</v>
      </c>
      <c r="H223">
        <v>289</v>
      </c>
      <c r="I223">
        <v>310.58999999999997</v>
      </c>
      <c r="J223">
        <v>166.54</v>
      </c>
    </row>
    <row r="224" spans="1:10" x14ac:dyDescent="0.45">
      <c r="A224" t="s">
        <v>251</v>
      </c>
      <c r="B224" t="s">
        <v>48</v>
      </c>
      <c r="C224" t="s">
        <v>18</v>
      </c>
      <c r="D224" t="s">
        <v>42</v>
      </c>
      <c r="E224" t="s">
        <v>14</v>
      </c>
      <c r="F224" t="s">
        <v>15</v>
      </c>
      <c r="G224" s="7">
        <v>45149</v>
      </c>
      <c r="H224">
        <v>21</v>
      </c>
      <c r="I224">
        <v>263.93</v>
      </c>
      <c r="J224">
        <v>303.76</v>
      </c>
    </row>
    <row r="225" spans="1:10" x14ac:dyDescent="0.45">
      <c r="A225" t="s">
        <v>252</v>
      </c>
      <c r="B225" t="s">
        <v>17</v>
      </c>
      <c r="C225" t="s">
        <v>18</v>
      </c>
      <c r="D225" t="s">
        <v>23</v>
      </c>
      <c r="E225" t="s">
        <v>14</v>
      </c>
      <c r="F225" t="s">
        <v>15</v>
      </c>
      <c r="G225" s="7">
        <v>45150</v>
      </c>
      <c r="H225">
        <v>283</v>
      </c>
      <c r="I225">
        <v>336.7</v>
      </c>
      <c r="J225">
        <v>297.88</v>
      </c>
    </row>
    <row r="226" spans="1:10" x14ac:dyDescent="0.45">
      <c r="A226" t="s">
        <v>253</v>
      </c>
      <c r="B226" t="s">
        <v>48</v>
      </c>
      <c r="C226" t="s">
        <v>50</v>
      </c>
      <c r="D226" t="s">
        <v>13</v>
      </c>
      <c r="E226" t="s">
        <v>24</v>
      </c>
      <c r="F226" t="s">
        <v>28</v>
      </c>
      <c r="G226" s="7">
        <v>45151</v>
      </c>
      <c r="H226">
        <v>280</v>
      </c>
      <c r="I226">
        <v>465.15</v>
      </c>
      <c r="J226">
        <v>245.55</v>
      </c>
    </row>
    <row r="227" spans="1:10" x14ac:dyDescent="0.45">
      <c r="A227" t="s">
        <v>254</v>
      </c>
      <c r="B227" t="s">
        <v>48</v>
      </c>
      <c r="C227" t="s">
        <v>31</v>
      </c>
      <c r="D227" t="s">
        <v>19</v>
      </c>
      <c r="E227" t="s">
        <v>24</v>
      </c>
      <c r="F227" t="s">
        <v>15</v>
      </c>
      <c r="G227" s="7">
        <v>45152</v>
      </c>
      <c r="H227">
        <v>217</v>
      </c>
      <c r="I227">
        <v>268.47000000000003</v>
      </c>
      <c r="J227">
        <v>44.16</v>
      </c>
    </row>
    <row r="228" spans="1:10" x14ac:dyDescent="0.45">
      <c r="A228" t="s">
        <v>255</v>
      </c>
      <c r="B228" t="s">
        <v>22</v>
      </c>
      <c r="C228" t="s">
        <v>31</v>
      </c>
      <c r="D228" t="s">
        <v>27</v>
      </c>
      <c r="E228" t="s">
        <v>24</v>
      </c>
      <c r="F228" t="s">
        <v>15</v>
      </c>
      <c r="G228" s="7">
        <v>45153</v>
      </c>
      <c r="H228">
        <v>36</v>
      </c>
      <c r="I228">
        <v>292.56</v>
      </c>
      <c r="J228">
        <v>62.32</v>
      </c>
    </row>
    <row r="229" spans="1:10" x14ac:dyDescent="0.45">
      <c r="A229" t="s">
        <v>256</v>
      </c>
      <c r="B229" t="s">
        <v>48</v>
      </c>
      <c r="C229" t="s">
        <v>50</v>
      </c>
      <c r="D229" t="s">
        <v>19</v>
      </c>
      <c r="E229" t="s">
        <v>24</v>
      </c>
      <c r="F229" t="s">
        <v>28</v>
      </c>
      <c r="G229" s="7">
        <v>45154</v>
      </c>
      <c r="H229">
        <v>248.5</v>
      </c>
      <c r="I229">
        <v>49.37</v>
      </c>
      <c r="J229">
        <v>39.32</v>
      </c>
    </row>
    <row r="230" spans="1:10" x14ac:dyDescent="0.45">
      <c r="A230" t="s">
        <v>257</v>
      </c>
      <c r="B230" t="s">
        <v>22</v>
      </c>
      <c r="C230" t="s">
        <v>12</v>
      </c>
      <c r="D230" t="s">
        <v>27</v>
      </c>
      <c r="E230" t="s">
        <v>14</v>
      </c>
      <c r="F230" t="s">
        <v>28</v>
      </c>
      <c r="G230" s="7">
        <v>45155</v>
      </c>
      <c r="H230">
        <v>69</v>
      </c>
      <c r="I230">
        <v>360.23</v>
      </c>
      <c r="J230">
        <v>231.71</v>
      </c>
    </row>
    <row r="231" spans="1:10" x14ac:dyDescent="0.45">
      <c r="A231" t="s">
        <v>258</v>
      </c>
      <c r="B231" t="s">
        <v>22</v>
      </c>
      <c r="C231" t="s">
        <v>31</v>
      </c>
      <c r="D231" t="s">
        <v>13</v>
      </c>
      <c r="E231" t="s">
        <v>14</v>
      </c>
      <c r="F231" t="s">
        <v>28</v>
      </c>
      <c r="G231" s="7">
        <v>45156</v>
      </c>
      <c r="H231">
        <v>439</v>
      </c>
      <c r="I231">
        <v>202.95</v>
      </c>
      <c r="J231">
        <v>351.1</v>
      </c>
    </row>
    <row r="232" spans="1:10" x14ac:dyDescent="0.45">
      <c r="A232" t="s">
        <v>259</v>
      </c>
      <c r="B232" t="s">
        <v>48</v>
      </c>
      <c r="C232" t="s">
        <v>18</v>
      </c>
      <c r="D232" t="s">
        <v>27</v>
      </c>
      <c r="E232" t="s">
        <v>14</v>
      </c>
      <c r="F232" t="s">
        <v>20</v>
      </c>
      <c r="G232" s="7">
        <v>45157</v>
      </c>
      <c r="H232">
        <v>482</v>
      </c>
      <c r="I232">
        <v>488.48</v>
      </c>
      <c r="J232">
        <v>174.65</v>
      </c>
    </row>
    <row r="233" spans="1:10" x14ac:dyDescent="0.45">
      <c r="A233" t="s">
        <v>260</v>
      </c>
      <c r="B233" t="s">
        <v>17</v>
      </c>
      <c r="C233" t="s">
        <v>18</v>
      </c>
      <c r="D233" t="s">
        <v>23</v>
      </c>
      <c r="E233" t="s">
        <v>14</v>
      </c>
      <c r="F233" t="s">
        <v>20</v>
      </c>
      <c r="G233" s="7">
        <v>45158</v>
      </c>
      <c r="H233">
        <v>154</v>
      </c>
      <c r="I233">
        <v>412.47</v>
      </c>
      <c r="J233">
        <v>66.02</v>
      </c>
    </row>
    <row r="234" spans="1:10" x14ac:dyDescent="0.45">
      <c r="A234" t="s">
        <v>261</v>
      </c>
      <c r="B234" t="s">
        <v>17</v>
      </c>
      <c r="C234" t="s">
        <v>26</v>
      </c>
      <c r="D234" t="s">
        <v>23</v>
      </c>
      <c r="E234" t="s">
        <v>24</v>
      </c>
      <c r="F234" t="s">
        <v>28</v>
      </c>
      <c r="G234" s="7">
        <v>45159</v>
      </c>
      <c r="H234">
        <v>102</v>
      </c>
      <c r="I234">
        <v>263.63</v>
      </c>
      <c r="J234">
        <v>224.1</v>
      </c>
    </row>
    <row r="235" spans="1:10" x14ac:dyDescent="0.45">
      <c r="A235" t="s">
        <v>262</v>
      </c>
      <c r="B235" t="s">
        <v>17</v>
      </c>
      <c r="C235" t="s">
        <v>31</v>
      </c>
      <c r="D235" t="s">
        <v>23</v>
      </c>
      <c r="E235" t="s">
        <v>14</v>
      </c>
      <c r="F235" t="s">
        <v>28</v>
      </c>
      <c r="G235" s="7">
        <v>45160</v>
      </c>
      <c r="H235">
        <v>318</v>
      </c>
      <c r="I235">
        <v>66</v>
      </c>
      <c r="J235">
        <v>325.08</v>
      </c>
    </row>
    <row r="236" spans="1:10" x14ac:dyDescent="0.45">
      <c r="A236" t="s">
        <v>263</v>
      </c>
      <c r="B236" t="s">
        <v>17</v>
      </c>
      <c r="C236" t="s">
        <v>12</v>
      </c>
      <c r="D236" t="s">
        <v>23</v>
      </c>
      <c r="E236" t="s">
        <v>14</v>
      </c>
      <c r="F236" t="s">
        <v>28</v>
      </c>
      <c r="G236" s="7">
        <v>45161</v>
      </c>
      <c r="H236">
        <v>17</v>
      </c>
      <c r="I236">
        <v>430.41</v>
      </c>
      <c r="J236">
        <v>297.2</v>
      </c>
    </row>
    <row r="237" spans="1:10" x14ac:dyDescent="0.45">
      <c r="A237" t="s">
        <v>264</v>
      </c>
      <c r="B237" t="s">
        <v>17</v>
      </c>
      <c r="C237" t="s">
        <v>50</v>
      </c>
      <c r="D237" t="s">
        <v>19</v>
      </c>
      <c r="E237" t="s">
        <v>24</v>
      </c>
      <c r="F237" t="s">
        <v>20</v>
      </c>
      <c r="G237" s="7">
        <v>45162</v>
      </c>
      <c r="H237">
        <v>88</v>
      </c>
      <c r="I237">
        <v>400.89</v>
      </c>
      <c r="J237">
        <v>352.82</v>
      </c>
    </row>
    <row r="238" spans="1:10" x14ac:dyDescent="0.45">
      <c r="A238" t="s">
        <v>265</v>
      </c>
      <c r="B238" t="s">
        <v>48</v>
      </c>
      <c r="C238" t="s">
        <v>50</v>
      </c>
      <c r="D238" t="s">
        <v>13</v>
      </c>
      <c r="E238" t="s">
        <v>24</v>
      </c>
      <c r="F238" t="s">
        <v>20</v>
      </c>
      <c r="G238" s="7">
        <v>45163</v>
      </c>
      <c r="H238">
        <v>36</v>
      </c>
      <c r="I238">
        <v>96.37</v>
      </c>
      <c r="J238">
        <v>112.61</v>
      </c>
    </row>
    <row r="239" spans="1:10" x14ac:dyDescent="0.45">
      <c r="A239" t="s">
        <v>266</v>
      </c>
      <c r="B239" t="s">
        <v>48</v>
      </c>
      <c r="C239" t="s">
        <v>12</v>
      </c>
      <c r="D239" t="s">
        <v>27</v>
      </c>
      <c r="E239" t="s">
        <v>24</v>
      </c>
      <c r="F239" t="s">
        <v>15</v>
      </c>
      <c r="G239" s="7">
        <v>45164</v>
      </c>
      <c r="H239">
        <v>183</v>
      </c>
      <c r="I239">
        <v>151.16</v>
      </c>
      <c r="J239">
        <v>79.19</v>
      </c>
    </row>
    <row r="240" spans="1:10" x14ac:dyDescent="0.45">
      <c r="A240" t="s">
        <v>267</v>
      </c>
      <c r="B240" t="s">
        <v>11</v>
      </c>
      <c r="C240" t="s">
        <v>26</v>
      </c>
      <c r="D240" t="s">
        <v>27</v>
      </c>
      <c r="E240" t="s">
        <v>24</v>
      </c>
      <c r="F240" t="s">
        <v>15</v>
      </c>
      <c r="G240" s="7">
        <v>45165</v>
      </c>
      <c r="H240">
        <v>59</v>
      </c>
      <c r="I240">
        <v>397.74</v>
      </c>
      <c r="J240">
        <v>352.17</v>
      </c>
    </row>
    <row r="241" spans="1:10" x14ac:dyDescent="0.45">
      <c r="A241" t="s">
        <v>268</v>
      </c>
      <c r="B241" t="s">
        <v>17</v>
      </c>
      <c r="C241" t="s">
        <v>50</v>
      </c>
      <c r="D241" t="s">
        <v>23</v>
      </c>
      <c r="E241" t="s">
        <v>14</v>
      </c>
      <c r="F241" t="s">
        <v>28</v>
      </c>
      <c r="G241" s="7">
        <v>45166</v>
      </c>
      <c r="H241">
        <v>208</v>
      </c>
      <c r="I241">
        <v>96.69</v>
      </c>
      <c r="J241">
        <v>263.70999999999998</v>
      </c>
    </row>
    <row r="242" spans="1:10" x14ac:dyDescent="0.45">
      <c r="A242" t="s">
        <v>269</v>
      </c>
      <c r="B242" t="s">
        <v>48</v>
      </c>
      <c r="C242" t="s">
        <v>31</v>
      </c>
      <c r="D242" t="s">
        <v>23</v>
      </c>
      <c r="E242" t="s">
        <v>14</v>
      </c>
      <c r="F242" t="s">
        <v>20</v>
      </c>
      <c r="G242" s="7">
        <v>45167</v>
      </c>
      <c r="H242">
        <v>396</v>
      </c>
      <c r="I242">
        <v>459.29</v>
      </c>
      <c r="J242">
        <v>125.75</v>
      </c>
    </row>
    <row r="243" spans="1:10" x14ac:dyDescent="0.45">
      <c r="A243" t="s">
        <v>270</v>
      </c>
      <c r="B243" t="s">
        <v>11</v>
      </c>
      <c r="C243" t="s">
        <v>26</v>
      </c>
      <c r="D243" t="s">
        <v>42</v>
      </c>
      <c r="E243" t="s">
        <v>24</v>
      </c>
      <c r="F243" t="s">
        <v>20</v>
      </c>
      <c r="G243" s="7">
        <v>45168</v>
      </c>
      <c r="H243">
        <v>358</v>
      </c>
      <c r="I243">
        <v>215.14</v>
      </c>
      <c r="J243">
        <v>297.45</v>
      </c>
    </row>
    <row r="244" spans="1:10" x14ac:dyDescent="0.45">
      <c r="A244" t="s">
        <v>271</v>
      </c>
      <c r="B244" t="s">
        <v>17</v>
      </c>
      <c r="C244" t="s">
        <v>31</v>
      </c>
      <c r="D244" t="s">
        <v>13</v>
      </c>
      <c r="E244" t="s">
        <v>14</v>
      </c>
      <c r="F244" t="s">
        <v>20</v>
      </c>
      <c r="G244" s="7">
        <v>45169</v>
      </c>
      <c r="H244">
        <v>457</v>
      </c>
      <c r="I244">
        <v>48.08</v>
      </c>
      <c r="J244">
        <v>326.42</v>
      </c>
    </row>
    <row r="245" spans="1:10" x14ac:dyDescent="0.45">
      <c r="A245" t="s">
        <v>272</v>
      </c>
      <c r="B245" t="s">
        <v>22</v>
      </c>
      <c r="C245" t="s">
        <v>18</v>
      </c>
      <c r="D245" t="s">
        <v>19</v>
      </c>
      <c r="E245" t="s">
        <v>14</v>
      </c>
      <c r="F245" t="s">
        <v>28</v>
      </c>
      <c r="G245" s="7">
        <v>45170</v>
      </c>
      <c r="H245">
        <v>437</v>
      </c>
      <c r="I245">
        <v>408.8</v>
      </c>
      <c r="J245">
        <v>246.76</v>
      </c>
    </row>
    <row r="246" spans="1:10" x14ac:dyDescent="0.45">
      <c r="A246" t="s">
        <v>273</v>
      </c>
      <c r="B246" t="s">
        <v>11</v>
      </c>
      <c r="C246" t="s">
        <v>26</v>
      </c>
      <c r="D246" t="s">
        <v>27</v>
      </c>
      <c r="E246" t="s">
        <v>14</v>
      </c>
      <c r="F246" t="s">
        <v>15</v>
      </c>
      <c r="G246" s="7">
        <v>45171</v>
      </c>
      <c r="H246">
        <v>190</v>
      </c>
      <c r="I246">
        <v>189.89</v>
      </c>
      <c r="J246">
        <v>275.77999999999997</v>
      </c>
    </row>
    <row r="247" spans="1:10" x14ac:dyDescent="0.45">
      <c r="A247" t="s">
        <v>274</v>
      </c>
      <c r="B247" t="s">
        <v>48</v>
      </c>
      <c r="C247" t="s">
        <v>50</v>
      </c>
      <c r="D247" t="s">
        <v>42</v>
      </c>
      <c r="E247" t="s">
        <v>24</v>
      </c>
      <c r="F247" t="s">
        <v>28</v>
      </c>
      <c r="G247" s="7">
        <v>45172</v>
      </c>
      <c r="H247">
        <v>33</v>
      </c>
      <c r="I247">
        <v>265.62</v>
      </c>
      <c r="J247">
        <v>151.35</v>
      </c>
    </row>
    <row r="248" spans="1:10" x14ac:dyDescent="0.45">
      <c r="A248" t="s">
        <v>275</v>
      </c>
      <c r="B248" t="s">
        <v>22</v>
      </c>
      <c r="C248" t="s">
        <v>26</v>
      </c>
      <c r="D248" t="s">
        <v>42</v>
      </c>
      <c r="E248" t="s">
        <v>14</v>
      </c>
      <c r="F248" t="s">
        <v>15</v>
      </c>
      <c r="G248" s="7">
        <v>45173</v>
      </c>
      <c r="H248">
        <v>325</v>
      </c>
      <c r="I248">
        <v>60.59</v>
      </c>
      <c r="J248">
        <v>216.4</v>
      </c>
    </row>
    <row r="249" spans="1:10" x14ac:dyDescent="0.45">
      <c r="A249" t="s">
        <v>276</v>
      </c>
      <c r="B249" t="s">
        <v>22</v>
      </c>
      <c r="C249" t="s">
        <v>26</v>
      </c>
      <c r="D249" t="s">
        <v>27</v>
      </c>
      <c r="E249" t="s">
        <v>24</v>
      </c>
      <c r="F249" t="s">
        <v>15</v>
      </c>
      <c r="G249" s="7">
        <v>45174</v>
      </c>
      <c r="H249">
        <v>387</v>
      </c>
      <c r="I249">
        <v>6.28</v>
      </c>
      <c r="J249">
        <v>210.62</v>
      </c>
    </row>
    <row r="250" spans="1:10" x14ac:dyDescent="0.45">
      <c r="A250" t="s">
        <v>277</v>
      </c>
      <c r="B250" t="s">
        <v>22</v>
      </c>
      <c r="C250" t="s">
        <v>26</v>
      </c>
      <c r="D250" t="s">
        <v>19</v>
      </c>
      <c r="E250" t="s">
        <v>14</v>
      </c>
      <c r="F250" t="s">
        <v>28</v>
      </c>
      <c r="G250" s="7">
        <v>45175</v>
      </c>
      <c r="H250">
        <v>396</v>
      </c>
      <c r="I250">
        <v>320.8</v>
      </c>
      <c r="J250">
        <v>339.52</v>
      </c>
    </row>
    <row r="251" spans="1:10" x14ac:dyDescent="0.45">
      <c r="A251" t="s">
        <v>278</v>
      </c>
      <c r="B251" t="s">
        <v>11</v>
      </c>
      <c r="C251" t="s">
        <v>26</v>
      </c>
      <c r="D251" t="s">
        <v>42</v>
      </c>
      <c r="E251" t="s">
        <v>14</v>
      </c>
      <c r="F251" t="s">
        <v>15</v>
      </c>
      <c r="G251" s="7">
        <v>45176</v>
      </c>
      <c r="H251">
        <v>413</v>
      </c>
      <c r="I251">
        <v>260.01</v>
      </c>
      <c r="J251">
        <v>336.31</v>
      </c>
    </row>
    <row r="252" spans="1:10" x14ac:dyDescent="0.45">
      <c r="A252" t="s">
        <v>279</v>
      </c>
      <c r="B252" t="s">
        <v>48</v>
      </c>
      <c r="C252" t="s">
        <v>31</v>
      </c>
      <c r="D252" t="s">
        <v>42</v>
      </c>
      <c r="E252" t="s">
        <v>14</v>
      </c>
      <c r="F252" t="s">
        <v>15</v>
      </c>
      <c r="G252" s="7">
        <v>45177</v>
      </c>
      <c r="H252">
        <v>248.5</v>
      </c>
      <c r="I252">
        <v>298.8</v>
      </c>
      <c r="J252">
        <v>333.41</v>
      </c>
    </row>
    <row r="253" spans="1:10" x14ac:dyDescent="0.45">
      <c r="A253" t="s">
        <v>280</v>
      </c>
      <c r="B253" t="s">
        <v>22</v>
      </c>
      <c r="C253" t="s">
        <v>18</v>
      </c>
      <c r="D253" t="s">
        <v>13</v>
      </c>
      <c r="E253" t="s">
        <v>24</v>
      </c>
      <c r="F253" t="s">
        <v>20</v>
      </c>
      <c r="G253" s="7">
        <v>45178</v>
      </c>
      <c r="H253">
        <v>24</v>
      </c>
      <c r="I253">
        <v>397.9</v>
      </c>
      <c r="J253">
        <v>6.39</v>
      </c>
    </row>
    <row r="254" spans="1:10" x14ac:dyDescent="0.45">
      <c r="A254" t="s">
        <v>281</v>
      </c>
      <c r="B254" t="s">
        <v>17</v>
      </c>
      <c r="C254" t="s">
        <v>12</v>
      </c>
      <c r="D254" t="s">
        <v>13</v>
      </c>
      <c r="E254" t="s">
        <v>14</v>
      </c>
      <c r="F254" t="s">
        <v>15</v>
      </c>
      <c r="G254" s="7">
        <v>45179</v>
      </c>
      <c r="H254">
        <v>162</v>
      </c>
      <c r="I254">
        <v>325.07</v>
      </c>
      <c r="J254">
        <v>300.32</v>
      </c>
    </row>
    <row r="255" spans="1:10" x14ac:dyDescent="0.45">
      <c r="A255" t="s">
        <v>282</v>
      </c>
      <c r="B255" t="s">
        <v>22</v>
      </c>
      <c r="C255" t="s">
        <v>26</v>
      </c>
      <c r="D255" t="s">
        <v>42</v>
      </c>
      <c r="E255" t="s">
        <v>24</v>
      </c>
      <c r="F255" t="s">
        <v>28</v>
      </c>
      <c r="G255" s="7">
        <v>45180</v>
      </c>
      <c r="H255">
        <v>231</v>
      </c>
      <c r="I255">
        <v>91.51</v>
      </c>
      <c r="J255">
        <v>303.95</v>
      </c>
    </row>
    <row r="256" spans="1:10" x14ac:dyDescent="0.45">
      <c r="A256" t="s">
        <v>283</v>
      </c>
      <c r="B256" t="s">
        <v>22</v>
      </c>
      <c r="C256" t="s">
        <v>50</v>
      </c>
      <c r="D256" t="s">
        <v>19</v>
      </c>
      <c r="E256" t="s">
        <v>24</v>
      </c>
      <c r="F256" t="s">
        <v>28</v>
      </c>
      <c r="G256" s="7">
        <v>45181</v>
      </c>
      <c r="H256">
        <v>215</v>
      </c>
      <c r="I256">
        <v>183.58</v>
      </c>
      <c r="J256">
        <v>271.99</v>
      </c>
    </row>
    <row r="257" spans="1:10" x14ac:dyDescent="0.45">
      <c r="A257" t="s">
        <v>284</v>
      </c>
      <c r="B257" t="s">
        <v>11</v>
      </c>
      <c r="C257" t="s">
        <v>26</v>
      </c>
      <c r="D257" t="s">
        <v>27</v>
      </c>
      <c r="E257" t="s">
        <v>24</v>
      </c>
      <c r="F257" t="s">
        <v>15</v>
      </c>
      <c r="G257" s="7">
        <v>45182</v>
      </c>
      <c r="H257">
        <v>464</v>
      </c>
      <c r="I257">
        <v>453.42</v>
      </c>
      <c r="J257">
        <v>302.99</v>
      </c>
    </row>
    <row r="258" spans="1:10" x14ac:dyDescent="0.45">
      <c r="A258" t="s">
        <v>285</v>
      </c>
      <c r="B258" t="s">
        <v>11</v>
      </c>
      <c r="C258" t="s">
        <v>50</v>
      </c>
      <c r="D258" t="s">
        <v>23</v>
      </c>
      <c r="E258" t="s">
        <v>14</v>
      </c>
      <c r="F258" t="s">
        <v>20</v>
      </c>
      <c r="G258" s="7">
        <v>45183</v>
      </c>
      <c r="H258">
        <v>282</v>
      </c>
      <c r="I258">
        <v>255.39500000000001</v>
      </c>
      <c r="J258">
        <v>337.1</v>
      </c>
    </row>
    <row r="259" spans="1:10" x14ac:dyDescent="0.45">
      <c r="A259" t="s">
        <v>286</v>
      </c>
      <c r="B259" t="s">
        <v>48</v>
      </c>
      <c r="C259" t="s">
        <v>31</v>
      </c>
      <c r="D259" t="s">
        <v>42</v>
      </c>
      <c r="E259" t="s">
        <v>14</v>
      </c>
      <c r="F259" t="s">
        <v>20</v>
      </c>
      <c r="G259" s="7">
        <v>45184</v>
      </c>
      <c r="H259">
        <v>391</v>
      </c>
      <c r="I259">
        <v>280.54000000000002</v>
      </c>
      <c r="J259">
        <v>189.19</v>
      </c>
    </row>
    <row r="260" spans="1:10" x14ac:dyDescent="0.45">
      <c r="A260" t="s">
        <v>287</v>
      </c>
      <c r="B260" t="s">
        <v>17</v>
      </c>
      <c r="C260" t="s">
        <v>50</v>
      </c>
      <c r="D260" t="s">
        <v>13</v>
      </c>
      <c r="E260" t="s">
        <v>14</v>
      </c>
      <c r="F260" t="s">
        <v>15</v>
      </c>
      <c r="G260" s="7">
        <v>45185</v>
      </c>
      <c r="H260">
        <v>245</v>
      </c>
      <c r="I260">
        <v>131.54</v>
      </c>
      <c r="J260">
        <v>201.82</v>
      </c>
    </row>
    <row r="261" spans="1:10" x14ac:dyDescent="0.45">
      <c r="A261" t="s">
        <v>288</v>
      </c>
      <c r="B261" t="s">
        <v>11</v>
      </c>
      <c r="C261" t="s">
        <v>12</v>
      </c>
      <c r="D261" t="s">
        <v>27</v>
      </c>
      <c r="E261" t="s">
        <v>14</v>
      </c>
      <c r="F261" t="s">
        <v>15</v>
      </c>
      <c r="G261" s="7">
        <v>45186</v>
      </c>
      <c r="H261">
        <v>349</v>
      </c>
      <c r="I261">
        <v>154.52000000000001</v>
      </c>
      <c r="J261">
        <v>51.64</v>
      </c>
    </row>
    <row r="262" spans="1:10" x14ac:dyDescent="0.45">
      <c r="A262" t="s">
        <v>289</v>
      </c>
      <c r="B262" t="s">
        <v>22</v>
      </c>
      <c r="C262" t="s">
        <v>18</v>
      </c>
      <c r="D262" t="s">
        <v>19</v>
      </c>
      <c r="E262" t="s">
        <v>24</v>
      </c>
      <c r="F262" t="s">
        <v>28</v>
      </c>
      <c r="G262" s="7">
        <v>45187</v>
      </c>
      <c r="H262">
        <v>237</v>
      </c>
      <c r="I262">
        <v>255.39500000000001</v>
      </c>
      <c r="J262">
        <v>155.38</v>
      </c>
    </row>
    <row r="263" spans="1:10" x14ac:dyDescent="0.45">
      <c r="A263" t="s">
        <v>290</v>
      </c>
      <c r="B263" t="s">
        <v>48</v>
      </c>
      <c r="C263" t="s">
        <v>50</v>
      </c>
      <c r="D263" t="s">
        <v>27</v>
      </c>
      <c r="E263" t="s">
        <v>24</v>
      </c>
      <c r="F263" t="s">
        <v>15</v>
      </c>
      <c r="G263" s="7">
        <v>45188</v>
      </c>
      <c r="H263">
        <v>18</v>
      </c>
      <c r="I263">
        <v>426.33</v>
      </c>
      <c r="J263">
        <v>258.06</v>
      </c>
    </row>
    <row r="264" spans="1:10" x14ac:dyDescent="0.45">
      <c r="A264" t="s">
        <v>291</v>
      </c>
      <c r="B264" t="s">
        <v>22</v>
      </c>
      <c r="C264" t="s">
        <v>50</v>
      </c>
      <c r="D264" t="s">
        <v>42</v>
      </c>
      <c r="E264" t="s">
        <v>24</v>
      </c>
      <c r="F264" t="s">
        <v>20</v>
      </c>
      <c r="G264" s="7">
        <v>45189</v>
      </c>
      <c r="H264">
        <v>175</v>
      </c>
      <c r="I264">
        <v>337.36</v>
      </c>
      <c r="J264">
        <v>312.60000000000002</v>
      </c>
    </row>
    <row r="265" spans="1:10" x14ac:dyDescent="0.45">
      <c r="A265" t="s">
        <v>292</v>
      </c>
      <c r="B265" t="s">
        <v>22</v>
      </c>
      <c r="C265" t="s">
        <v>18</v>
      </c>
      <c r="D265" t="s">
        <v>13</v>
      </c>
      <c r="E265" t="s">
        <v>14</v>
      </c>
      <c r="F265" t="s">
        <v>15</v>
      </c>
      <c r="G265" s="7">
        <v>45190</v>
      </c>
      <c r="H265">
        <v>441</v>
      </c>
      <c r="I265">
        <v>405.72</v>
      </c>
      <c r="J265">
        <v>88.45</v>
      </c>
    </row>
    <row r="266" spans="1:10" x14ac:dyDescent="0.45">
      <c r="A266" t="s">
        <v>293</v>
      </c>
      <c r="B266" t="s">
        <v>11</v>
      </c>
      <c r="C266" t="s">
        <v>12</v>
      </c>
      <c r="D266" t="s">
        <v>23</v>
      </c>
      <c r="E266" t="s">
        <v>24</v>
      </c>
      <c r="F266" t="s">
        <v>28</v>
      </c>
      <c r="G266" s="7">
        <v>45191</v>
      </c>
      <c r="H266">
        <v>453</v>
      </c>
      <c r="I266">
        <v>384.49</v>
      </c>
      <c r="J266">
        <v>56.85</v>
      </c>
    </row>
    <row r="267" spans="1:10" x14ac:dyDescent="0.45">
      <c r="A267" t="s">
        <v>294</v>
      </c>
      <c r="B267" t="s">
        <v>48</v>
      </c>
      <c r="C267" t="s">
        <v>26</v>
      </c>
      <c r="D267" t="s">
        <v>27</v>
      </c>
      <c r="E267" t="s">
        <v>14</v>
      </c>
      <c r="F267" t="s">
        <v>28</v>
      </c>
      <c r="G267" s="7">
        <v>45192</v>
      </c>
      <c r="H267">
        <v>328</v>
      </c>
      <c r="I267">
        <v>79.099999999999994</v>
      </c>
      <c r="J267">
        <v>265.89</v>
      </c>
    </row>
    <row r="268" spans="1:10" x14ac:dyDescent="0.45">
      <c r="A268" t="s">
        <v>295</v>
      </c>
      <c r="B268" t="s">
        <v>17</v>
      </c>
      <c r="C268" t="s">
        <v>50</v>
      </c>
      <c r="D268" t="s">
        <v>42</v>
      </c>
      <c r="E268" t="s">
        <v>24</v>
      </c>
      <c r="F268" t="s">
        <v>28</v>
      </c>
      <c r="G268" s="7">
        <v>45193</v>
      </c>
      <c r="H268">
        <v>223</v>
      </c>
      <c r="I268">
        <v>214.85</v>
      </c>
      <c r="J268">
        <v>2.75</v>
      </c>
    </row>
    <row r="269" spans="1:10" x14ac:dyDescent="0.45">
      <c r="A269" t="s">
        <v>296</v>
      </c>
      <c r="B269" t="s">
        <v>17</v>
      </c>
      <c r="C269" t="s">
        <v>18</v>
      </c>
      <c r="D269" t="s">
        <v>13</v>
      </c>
      <c r="E269" t="s">
        <v>14</v>
      </c>
      <c r="F269" t="s">
        <v>28</v>
      </c>
      <c r="G269" s="7">
        <v>45194</v>
      </c>
      <c r="H269">
        <v>126</v>
      </c>
      <c r="I269">
        <v>80.73</v>
      </c>
      <c r="J269">
        <v>72.989999999999995</v>
      </c>
    </row>
    <row r="270" spans="1:10" x14ac:dyDescent="0.45">
      <c r="A270" t="s">
        <v>297</v>
      </c>
      <c r="B270" t="s">
        <v>11</v>
      </c>
      <c r="C270" t="s">
        <v>31</v>
      </c>
      <c r="D270" t="s">
        <v>19</v>
      </c>
      <c r="E270" t="s">
        <v>14</v>
      </c>
      <c r="F270" t="s">
        <v>28</v>
      </c>
      <c r="G270" s="7">
        <v>45195</v>
      </c>
      <c r="H270">
        <v>395</v>
      </c>
      <c r="I270">
        <v>121.44</v>
      </c>
      <c r="J270">
        <v>13.57</v>
      </c>
    </row>
    <row r="271" spans="1:10" x14ac:dyDescent="0.45">
      <c r="A271" t="s">
        <v>298</v>
      </c>
      <c r="B271" t="s">
        <v>11</v>
      </c>
      <c r="C271" t="s">
        <v>18</v>
      </c>
      <c r="D271" t="s">
        <v>27</v>
      </c>
      <c r="E271" t="s">
        <v>24</v>
      </c>
      <c r="F271" t="s">
        <v>15</v>
      </c>
      <c r="G271" s="7">
        <v>45196</v>
      </c>
      <c r="H271">
        <v>353</v>
      </c>
      <c r="I271">
        <v>435.28</v>
      </c>
      <c r="J271">
        <v>68.42</v>
      </c>
    </row>
    <row r="272" spans="1:10" x14ac:dyDescent="0.45">
      <c r="A272" t="s">
        <v>299</v>
      </c>
      <c r="B272" t="s">
        <v>48</v>
      </c>
      <c r="C272" t="s">
        <v>31</v>
      </c>
      <c r="D272" t="s">
        <v>27</v>
      </c>
      <c r="E272" t="s">
        <v>24</v>
      </c>
      <c r="F272" t="s">
        <v>15</v>
      </c>
      <c r="G272" s="7">
        <v>45197</v>
      </c>
      <c r="H272">
        <v>81</v>
      </c>
      <c r="I272">
        <v>239.08</v>
      </c>
      <c r="J272">
        <v>74.17</v>
      </c>
    </row>
    <row r="273" spans="1:10" x14ac:dyDescent="0.45">
      <c r="A273" t="s">
        <v>300</v>
      </c>
      <c r="B273" t="s">
        <v>17</v>
      </c>
      <c r="C273" t="s">
        <v>12</v>
      </c>
      <c r="D273" t="s">
        <v>23</v>
      </c>
      <c r="E273" t="s">
        <v>24</v>
      </c>
      <c r="F273" t="s">
        <v>15</v>
      </c>
      <c r="G273" s="7">
        <v>45198</v>
      </c>
      <c r="H273">
        <v>404</v>
      </c>
      <c r="I273">
        <v>270</v>
      </c>
      <c r="J273">
        <v>156.29</v>
      </c>
    </row>
    <row r="274" spans="1:10" x14ac:dyDescent="0.45">
      <c r="A274" t="s">
        <v>301</v>
      </c>
      <c r="B274" t="s">
        <v>17</v>
      </c>
      <c r="C274" t="s">
        <v>26</v>
      </c>
      <c r="D274" t="s">
        <v>23</v>
      </c>
      <c r="E274" t="s">
        <v>24</v>
      </c>
      <c r="F274" t="s">
        <v>15</v>
      </c>
      <c r="G274" s="7">
        <v>45199</v>
      </c>
      <c r="H274">
        <v>73</v>
      </c>
      <c r="I274">
        <v>93.33</v>
      </c>
      <c r="J274">
        <v>162.13</v>
      </c>
    </row>
    <row r="275" spans="1:10" x14ac:dyDescent="0.45">
      <c r="A275" t="s">
        <v>302</v>
      </c>
      <c r="B275" t="s">
        <v>17</v>
      </c>
      <c r="C275" t="s">
        <v>18</v>
      </c>
      <c r="D275" t="s">
        <v>13</v>
      </c>
      <c r="E275" t="s">
        <v>14</v>
      </c>
      <c r="F275" t="s">
        <v>28</v>
      </c>
      <c r="G275" s="7">
        <v>45200</v>
      </c>
      <c r="H275">
        <v>214</v>
      </c>
      <c r="I275">
        <v>159.57</v>
      </c>
      <c r="J275">
        <v>349.96</v>
      </c>
    </row>
    <row r="276" spans="1:10" x14ac:dyDescent="0.45">
      <c r="A276" t="s">
        <v>303</v>
      </c>
      <c r="B276" t="s">
        <v>22</v>
      </c>
      <c r="C276" t="s">
        <v>50</v>
      </c>
      <c r="D276" t="s">
        <v>13</v>
      </c>
      <c r="E276" t="s">
        <v>24</v>
      </c>
      <c r="F276" t="s">
        <v>20</v>
      </c>
      <c r="G276" s="7">
        <v>45201</v>
      </c>
      <c r="H276">
        <v>218</v>
      </c>
      <c r="I276">
        <v>118.97</v>
      </c>
      <c r="J276">
        <v>205.02</v>
      </c>
    </row>
    <row r="277" spans="1:10" x14ac:dyDescent="0.45">
      <c r="A277" t="s">
        <v>304</v>
      </c>
      <c r="B277" t="s">
        <v>17</v>
      </c>
      <c r="C277" t="s">
        <v>12</v>
      </c>
      <c r="D277" t="s">
        <v>42</v>
      </c>
      <c r="E277" t="s">
        <v>24</v>
      </c>
      <c r="F277" t="s">
        <v>15</v>
      </c>
      <c r="G277" s="7">
        <v>45202</v>
      </c>
      <c r="H277">
        <v>81</v>
      </c>
      <c r="I277">
        <v>107.06</v>
      </c>
      <c r="J277">
        <v>289.92</v>
      </c>
    </row>
    <row r="278" spans="1:10" x14ac:dyDescent="0.45">
      <c r="A278" t="s">
        <v>305</v>
      </c>
      <c r="B278" t="s">
        <v>22</v>
      </c>
      <c r="C278" t="s">
        <v>18</v>
      </c>
      <c r="D278" t="s">
        <v>42</v>
      </c>
      <c r="E278" t="s">
        <v>24</v>
      </c>
      <c r="F278" t="s">
        <v>20</v>
      </c>
      <c r="G278" s="7">
        <v>45203</v>
      </c>
      <c r="H278">
        <v>286</v>
      </c>
      <c r="I278">
        <v>320.79000000000002</v>
      </c>
      <c r="J278">
        <v>43.45</v>
      </c>
    </row>
    <row r="279" spans="1:10" x14ac:dyDescent="0.45">
      <c r="A279" t="s">
        <v>306</v>
      </c>
      <c r="B279" t="s">
        <v>48</v>
      </c>
      <c r="C279" t="s">
        <v>50</v>
      </c>
      <c r="D279" t="s">
        <v>13</v>
      </c>
      <c r="E279" t="s">
        <v>14</v>
      </c>
      <c r="F279" t="s">
        <v>15</v>
      </c>
      <c r="G279" s="7">
        <v>45204</v>
      </c>
      <c r="H279">
        <v>283</v>
      </c>
      <c r="I279">
        <v>132.16</v>
      </c>
      <c r="J279">
        <v>91.72</v>
      </c>
    </row>
    <row r="280" spans="1:10" x14ac:dyDescent="0.45">
      <c r="A280" t="s">
        <v>307</v>
      </c>
      <c r="B280" t="s">
        <v>22</v>
      </c>
      <c r="C280" t="s">
        <v>18</v>
      </c>
      <c r="D280" t="s">
        <v>13</v>
      </c>
      <c r="E280" t="s">
        <v>14</v>
      </c>
      <c r="F280" t="s">
        <v>15</v>
      </c>
      <c r="G280" s="7">
        <v>45205</v>
      </c>
      <c r="H280">
        <v>487</v>
      </c>
      <c r="I280">
        <v>317.85000000000002</v>
      </c>
      <c r="J280">
        <v>281.77</v>
      </c>
    </row>
    <row r="281" spans="1:10" x14ac:dyDescent="0.45">
      <c r="A281" t="s">
        <v>308</v>
      </c>
      <c r="B281" t="s">
        <v>48</v>
      </c>
      <c r="C281" t="s">
        <v>31</v>
      </c>
      <c r="D281" t="s">
        <v>19</v>
      </c>
      <c r="E281" t="s">
        <v>24</v>
      </c>
      <c r="F281" t="s">
        <v>20</v>
      </c>
      <c r="G281" s="7">
        <v>45206</v>
      </c>
      <c r="H281">
        <v>329</v>
      </c>
      <c r="I281">
        <v>33.94</v>
      </c>
      <c r="J281">
        <v>23.02</v>
      </c>
    </row>
    <row r="282" spans="1:10" x14ac:dyDescent="0.45">
      <c r="A282" t="s">
        <v>309</v>
      </c>
      <c r="B282" t="s">
        <v>17</v>
      </c>
      <c r="C282" t="s">
        <v>18</v>
      </c>
      <c r="D282" t="s">
        <v>23</v>
      </c>
      <c r="E282" t="s">
        <v>14</v>
      </c>
      <c r="F282" t="s">
        <v>28</v>
      </c>
      <c r="G282" s="7">
        <v>45207</v>
      </c>
      <c r="H282">
        <v>347</v>
      </c>
      <c r="I282">
        <v>75.180000000000007</v>
      </c>
      <c r="J282">
        <v>195.67</v>
      </c>
    </row>
    <row r="283" spans="1:10" x14ac:dyDescent="0.45">
      <c r="A283" t="s">
        <v>310</v>
      </c>
      <c r="B283" t="s">
        <v>17</v>
      </c>
      <c r="C283" t="s">
        <v>18</v>
      </c>
      <c r="D283" t="s">
        <v>42</v>
      </c>
      <c r="E283" t="s">
        <v>24</v>
      </c>
      <c r="F283" t="s">
        <v>15</v>
      </c>
      <c r="G283" s="7">
        <v>45208</v>
      </c>
      <c r="H283">
        <v>375</v>
      </c>
      <c r="I283">
        <v>140.9</v>
      </c>
      <c r="J283">
        <v>240.55</v>
      </c>
    </row>
    <row r="284" spans="1:10" x14ac:dyDescent="0.45">
      <c r="A284" t="s">
        <v>311</v>
      </c>
      <c r="B284" t="s">
        <v>48</v>
      </c>
      <c r="C284" t="s">
        <v>18</v>
      </c>
      <c r="D284" t="s">
        <v>23</v>
      </c>
      <c r="E284" t="s">
        <v>14</v>
      </c>
      <c r="F284" t="s">
        <v>15</v>
      </c>
      <c r="G284" s="7">
        <v>45209</v>
      </c>
      <c r="H284">
        <v>104</v>
      </c>
      <c r="I284">
        <v>300.54000000000002</v>
      </c>
      <c r="J284">
        <v>241.65</v>
      </c>
    </row>
    <row r="285" spans="1:10" x14ac:dyDescent="0.45">
      <c r="A285" t="s">
        <v>312</v>
      </c>
      <c r="B285" t="s">
        <v>11</v>
      </c>
      <c r="C285" t="s">
        <v>12</v>
      </c>
      <c r="D285" t="s">
        <v>13</v>
      </c>
      <c r="E285" t="s">
        <v>14</v>
      </c>
      <c r="F285" t="s">
        <v>15</v>
      </c>
      <c r="G285" s="7">
        <v>45210</v>
      </c>
      <c r="H285">
        <v>175</v>
      </c>
      <c r="I285">
        <v>339.54</v>
      </c>
      <c r="J285">
        <v>11.13</v>
      </c>
    </row>
    <row r="286" spans="1:10" x14ac:dyDescent="0.45">
      <c r="A286" t="s">
        <v>313</v>
      </c>
      <c r="B286" t="s">
        <v>48</v>
      </c>
      <c r="C286" t="s">
        <v>18</v>
      </c>
      <c r="D286" t="s">
        <v>13</v>
      </c>
      <c r="E286" t="s">
        <v>14</v>
      </c>
      <c r="F286" t="s">
        <v>20</v>
      </c>
      <c r="G286" s="7">
        <v>45211</v>
      </c>
      <c r="H286">
        <v>41</v>
      </c>
      <c r="I286">
        <v>224.14</v>
      </c>
      <c r="J286">
        <v>130.19999999999999</v>
      </c>
    </row>
    <row r="287" spans="1:10" x14ac:dyDescent="0.45">
      <c r="A287" t="s">
        <v>314</v>
      </c>
      <c r="B287" t="s">
        <v>11</v>
      </c>
      <c r="C287" t="s">
        <v>50</v>
      </c>
      <c r="D287" t="s">
        <v>19</v>
      </c>
      <c r="E287" t="s">
        <v>14</v>
      </c>
      <c r="F287" t="s">
        <v>28</v>
      </c>
      <c r="G287" s="7">
        <v>45212</v>
      </c>
      <c r="H287">
        <v>20</v>
      </c>
      <c r="I287">
        <v>225.67</v>
      </c>
      <c r="J287">
        <v>255.32</v>
      </c>
    </row>
    <row r="288" spans="1:10" x14ac:dyDescent="0.45">
      <c r="A288" t="s">
        <v>315</v>
      </c>
      <c r="B288" t="s">
        <v>22</v>
      </c>
      <c r="C288" t="s">
        <v>31</v>
      </c>
      <c r="D288" t="s">
        <v>27</v>
      </c>
      <c r="E288" t="s">
        <v>24</v>
      </c>
      <c r="F288" t="s">
        <v>20</v>
      </c>
      <c r="G288" s="7">
        <v>45213</v>
      </c>
      <c r="H288">
        <v>310</v>
      </c>
      <c r="I288">
        <v>363.64</v>
      </c>
      <c r="J288">
        <v>61.3</v>
      </c>
    </row>
    <row r="289" spans="1:10" x14ac:dyDescent="0.45">
      <c r="A289" t="s">
        <v>316</v>
      </c>
      <c r="B289" t="s">
        <v>22</v>
      </c>
      <c r="C289" t="s">
        <v>31</v>
      </c>
      <c r="D289" t="s">
        <v>19</v>
      </c>
      <c r="E289" t="s">
        <v>24</v>
      </c>
      <c r="F289" t="s">
        <v>20</v>
      </c>
      <c r="G289" s="7">
        <v>45214</v>
      </c>
      <c r="H289">
        <v>226</v>
      </c>
      <c r="I289">
        <v>255.39500000000001</v>
      </c>
      <c r="J289">
        <v>278.77999999999997</v>
      </c>
    </row>
    <row r="290" spans="1:10" x14ac:dyDescent="0.45">
      <c r="A290" t="s">
        <v>317</v>
      </c>
      <c r="B290" t="s">
        <v>22</v>
      </c>
      <c r="C290" t="s">
        <v>18</v>
      </c>
      <c r="D290" t="s">
        <v>19</v>
      </c>
      <c r="E290" t="s">
        <v>24</v>
      </c>
      <c r="F290" t="s">
        <v>28</v>
      </c>
      <c r="G290" s="7">
        <v>45215</v>
      </c>
      <c r="H290">
        <v>248.5</v>
      </c>
      <c r="I290">
        <v>173.84</v>
      </c>
      <c r="J290">
        <v>298.88</v>
      </c>
    </row>
    <row r="291" spans="1:10" x14ac:dyDescent="0.45">
      <c r="A291" t="s">
        <v>318</v>
      </c>
      <c r="B291" t="s">
        <v>17</v>
      </c>
      <c r="C291" t="s">
        <v>12</v>
      </c>
      <c r="D291" t="s">
        <v>23</v>
      </c>
      <c r="E291" t="s">
        <v>14</v>
      </c>
      <c r="F291" t="s">
        <v>20</v>
      </c>
      <c r="G291" s="7">
        <v>45216</v>
      </c>
      <c r="H291">
        <v>111</v>
      </c>
      <c r="I291">
        <v>410.26</v>
      </c>
      <c r="J291">
        <v>392.82</v>
      </c>
    </row>
    <row r="292" spans="1:10" x14ac:dyDescent="0.45">
      <c r="A292" t="s">
        <v>319</v>
      </c>
      <c r="B292" t="s">
        <v>22</v>
      </c>
      <c r="C292" t="s">
        <v>12</v>
      </c>
      <c r="D292" t="s">
        <v>19</v>
      </c>
      <c r="E292" t="s">
        <v>24</v>
      </c>
      <c r="F292" t="s">
        <v>28</v>
      </c>
      <c r="G292" s="7">
        <v>45217</v>
      </c>
      <c r="H292">
        <v>434</v>
      </c>
      <c r="I292">
        <v>303.58999999999997</v>
      </c>
      <c r="J292">
        <v>85.52</v>
      </c>
    </row>
    <row r="293" spans="1:10" x14ac:dyDescent="0.45">
      <c r="A293" t="s">
        <v>320</v>
      </c>
      <c r="B293" t="s">
        <v>11</v>
      </c>
      <c r="C293" t="s">
        <v>50</v>
      </c>
      <c r="D293" t="s">
        <v>42</v>
      </c>
      <c r="E293" t="s">
        <v>24</v>
      </c>
      <c r="F293" t="s">
        <v>15</v>
      </c>
      <c r="G293" s="7">
        <v>45218</v>
      </c>
      <c r="H293">
        <v>401</v>
      </c>
      <c r="I293">
        <v>171.93</v>
      </c>
      <c r="J293">
        <v>330.4</v>
      </c>
    </row>
    <row r="294" spans="1:10" x14ac:dyDescent="0.45">
      <c r="A294" t="s">
        <v>321</v>
      </c>
      <c r="B294" t="s">
        <v>22</v>
      </c>
      <c r="C294" t="s">
        <v>18</v>
      </c>
      <c r="D294" t="s">
        <v>23</v>
      </c>
      <c r="E294" t="s">
        <v>24</v>
      </c>
      <c r="F294" t="s">
        <v>28</v>
      </c>
      <c r="G294" s="7">
        <v>45219</v>
      </c>
      <c r="H294">
        <v>276</v>
      </c>
      <c r="I294">
        <v>453.23</v>
      </c>
      <c r="J294">
        <v>209.08</v>
      </c>
    </row>
    <row r="295" spans="1:10" x14ac:dyDescent="0.45">
      <c r="A295" t="s">
        <v>322</v>
      </c>
      <c r="B295" t="s">
        <v>48</v>
      </c>
      <c r="C295" t="s">
        <v>31</v>
      </c>
      <c r="D295" t="s">
        <v>42</v>
      </c>
      <c r="E295" t="s">
        <v>14</v>
      </c>
      <c r="F295" t="s">
        <v>15</v>
      </c>
      <c r="G295" s="7">
        <v>45220</v>
      </c>
      <c r="H295">
        <v>248.5</v>
      </c>
      <c r="I295">
        <v>387.45</v>
      </c>
      <c r="J295">
        <v>150.63999999999999</v>
      </c>
    </row>
    <row r="296" spans="1:10" x14ac:dyDescent="0.45">
      <c r="A296" t="s">
        <v>323</v>
      </c>
      <c r="B296" t="s">
        <v>48</v>
      </c>
      <c r="C296" t="s">
        <v>12</v>
      </c>
      <c r="D296" t="s">
        <v>27</v>
      </c>
      <c r="E296" t="s">
        <v>14</v>
      </c>
      <c r="F296" t="s">
        <v>20</v>
      </c>
      <c r="G296" s="7">
        <v>45221</v>
      </c>
      <c r="H296">
        <v>188</v>
      </c>
      <c r="I296">
        <v>136.12</v>
      </c>
      <c r="J296">
        <v>50.71</v>
      </c>
    </row>
    <row r="297" spans="1:10" x14ac:dyDescent="0.45">
      <c r="A297" t="s">
        <v>324</v>
      </c>
      <c r="B297" t="s">
        <v>17</v>
      </c>
      <c r="C297" t="s">
        <v>18</v>
      </c>
      <c r="D297" t="s">
        <v>23</v>
      </c>
      <c r="E297" t="s">
        <v>14</v>
      </c>
      <c r="F297" t="s">
        <v>20</v>
      </c>
      <c r="G297" s="7">
        <v>45222</v>
      </c>
      <c r="H297">
        <v>97</v>
      </c>
      <c r="I297">
        <v>324.42</v>
      </c>
      <c r="J297">
        <v>294.73</v>
      </c>
    </row>
    <row r="298" spans="1:10" x14ac:dyDescent="0.45">
      <c r="A298" t="s">
        <v>325</v>
      </c>
      <c r="B298" t="s">
        <v>48</v>
      </c>
      <c r="C298" t="s">
        <v>12</v>
      </c>
      <c r="D298" t="s">
        <v>27</v>
      </c>
      <c r="E298" t="s">
        <v>24</v>
      </c>
      <c r="F298" t="s">
        <v>15</v>
      </c>
      <c r="G298" s="7">
        <v>45223</v>
      </c>
      <c r="H298">
        <v>50</v>
      </c>
      <c r="I298">
        <v>299.89999999999998</v>
      </c>
      <c r="J298">
        <v>95.87</v>
      </c>
    </row>
    <row r="299" spans="1:10" x14ac:dyDescent="0.45">
      <c r="A299" t="s">
        <v>326</v>
      </c>
      <c r="B299" t="s">
        <v>11</v>
      </c>
      <c r="C299" t="s">
        <v>12</v>
      </c>
      <c r="D299" t="s">
        <v>23</v>
      </c>
      <c r="E299" t="s">
        <v>24</v>
      </c>
      <c r="F299" t="s">
        <v>20</v>
      </c>
      <c r="G299" s="7">
        <v>45224</v>
      </c>
      <c r="H299">
        <v>410</v>
      </c>
      <c r="I299">
        <v>203.59</v>
      </c>
      <c r="J299">
        <v>149.83000000000001</v>
      </c>
    </row>
    <row r="300" spans="1:10" x14ac:dyDescent="0.45">
      <c r="A300" t="s">
        <v>327</v>
      </c>
      <c r="B300" t="s">
        <v>22</v>
      </c>
      <c r="C300" t="s">
        <v>31</v>
      </c>
      <c r="D300" t="s">
        <v>13</v>
      </c>
      <c r="E300" t="s">
        <v>24</v>
      </c>
      <c r="F300" t="s">
        <v>28</v>
      </c>
      <c r="G300" s="7">
        <v>45225</v>
      </c>
      <c r="H300">
        <v>85</v>
      </c>
      <c r="I300">
        <v>186.64</v>
      </c>
      <c r="J300">
        <v>26.89</v>
      </c>
    </row>
    <row r="301" spans="1:10" x14ac:dyDescent="0.45">
      <c r="A301" t="s">
        <v>328</v>
      </c>
      <c r="B301" t="s">
        <v>17</v>
      </c>
      <c r="C301" t="s">
        <v>26</v>
      </c>
      <c r="D301" t="s">
        <v>19</v>
      </c>
      <c r="E301" t="s">
        <v>14</v>
      </c>
      <c r="F301" t="s">
        <v>15</v>
      </c>
      <c r="G301" s="7">
        <v>45226</v>
      </c>
      <c r="H301">
        <v>386</v>
      </c>
      <c r="I301">
        <v>175.06</v>
      </c>
      <c r="J301">
        <v>320.94</v>
      </c>
    </row>
    <row r="302" spans="1:10" x14ac:dyDescent="0.45">
      <c r="A302" t="s">
        <v>329</v>
      </c>
      <c r="B302" t="s">
        <v>22</v>
      </c>
      <c r="C302" t="s">
        <v>50</v>
      </c>
      <c r="D302" t="s">
        <v>13</v>
      </c>
      <c r="E302" t="s">
        <v>14</v>
      </c>
      <c r="F302" t="s">
        <v>20</v>
      </c>
      <c r="G302" s="7">
        <v>45227</v>
      </c>
      <c r="H302">
        <v>55</v>
      </c>
      <c r="I302">
        <v>310.49</v>
      </c>
      <c r="J302">
        <v>307.10000000000002</v>
      </c>
    </row>
    <row r="303" spans="1:10" x14ac:dyDescent="0.45">
      <c r="A303" t="s">
        <v>330</v>
      </c>
      <c r="B303" t="s">
        <v>22</v>
      </c>
      <c r="C303" t="s">
        <v>50</v>
      </c>
      <c r="D303" t="s">
        <v>27</v>
      </c>
      <c r="E303" t="s">
        <v>24</v>
      </c>
      <c r="F303" t="s">
        <v>15</v>
      </c>
      <c r="G303" s="7">
        <v>45228</v>
      </c>
      <c r="H303">
        <v>169</v>
      </c>
      <c r="I303">
        <v>223.99</v>
      </c>
      <c r="J303">
        <v>293.98</v>
      </c>
    </row>
    <row r="304" spans="1:10" x14ac:dyDescent="0.45">
      <c r="A304" t="s">
        <v>331</v>
      </c>
      <c r="B304" t="s">
        <v>11</v>
      </c>
      <c r="C304" t="s">
        <v>31</v>
      </c>
      <c r="D304" t="s">
        <v>19</v>
      </c>
      <c r="E304" t="s">
        <v>14</v>
      </c>
      <c r="F304" t="s">
        <v>28</v>
      </c>
      <c r="G304" s="7">
        <v>45229</v>
      </c>
      <c r="H304">
        <v>472</v>
      </c>
      <c r="I304">
        <v>416.77</v>
      </c>
      <c r="J304">
        <v>121.18</v>
      </c>
    </row>
    <row r="305" spans="1:10" x14ac:dyDescent="0.45">
      <c r="A305" t="s">
        <v>332</v>
      </c>
      <c r="B305" t="s">
        <v>48</v>
      </c>
      <c r="C305" t="s">
        <v>12</v>
      </c>
      <c r="D305" t="s">
        <v>23</v>
      </c>
      <c r="E305" t="s">
        <v>14</v>
      </c>
      <c r="F305" t="s">
        <v>28</v>
      </c>
      <c r="G305" s="7">
        <v>45230</v>
      </c>
      <c r="H305">
        <v>89</v>
      </c>
      <c r="I305">
        <v>336.45</v>
      </c>
      <c r="J305">
        <v>71.05</v>
      </c>
    </row>
    <row r="306" spans="1:10" x14ac:dyDescent="0.45">
      <c r="A306" t="s">
        <v>333</v>
      </c>
      <c r="B306" t="s">
        <v>48</v>
      </c>
      <c r="C306" t="s">
        <v>18</v>
      </c>
      <c r="D306" t="s">
        <v>19</v>
      </c>
      <c r="E306" t="s">
        <v>14</v>
      </c>
      <c r="F306" t="s">
        <v>20</v>
      </c>
      <c r="G306" s="7">
        <v>45231</v>
      </c>
      <c r="H306">
        <v>319</v>
      </c>
      <c r="I306">
        <v>39.619999999999997</v>
      </c>
      <c r="J306">
        <v>255.75</v>
      </c>
    </row>
    <row r="307" spans="1:10" x14ac:dyDescent="0.45">
      <c r="A307" t="s">
        <v>334</v>
      </c>
      <c r="B307" t="s">
        <v>22</v>
      </c>
      <c r="C307" t="s">
        <v>12</v>
      </c>
      <c r="D307" t="s">
        <v>13</v>
      </c>
      <c r="E307" t="s">
        <v>14</v>
      </c>
      <c r="F307" t="s">
        <v>28</v>
      </c>
      <c r="G307" s="7">
        <v>45232</v>
      </c>
      <c r="H307">
        <v>95</v>
      </c>
      <c r="I307">
        <v>321.88</v>
      </c>
      <c r="J307">
        <v>199.47</v>
      </c>
    </row>
    <row r="308" spans="1:10" x14ac:dyDescent="0.45">
      <c r="A308" t="s">
        <v>335</v>
      </c>
      <c r="B308" t="s">
        <v>17</v>
      </c>
      <c r="C308" t="s">
        <v>31</v>
      </c>
      <c r="D308" t="s">
        <v>13</v>
      </c>
      <c r="E308" t="s">
        <v>24</v>
      </c>
      <c r="F308" t="s">
        <v>15</v>
      </c>
      <c r="G308" s="7">
        <v>45233</v>
      </c>
      <c r="H308">
        <v>101</v>
      </c>
      <c r="I308">
        <v>139.22</v>
      </c>
      <c r="J308">
        <v>72.94</v>
      </c>
    </row>
    <row r="309" spans="1:10" x14ac:dyDescent="0.45">
      <c r="A309" t="s">
        <v>336</v>
      </c>
      <c r="B309" t="s">
        <v>48</v>
      </c>
      <c r="C309" t="s">
        <v>50</v>
      </c>
      <c r="D309" t="s">
        <v>13</v>
      </c>
      <c r="E309" t="s">
        <v>14</v>
      </c>
      <c r="F309" t="s">
        <v>28</v>
      </c>
      <c r="G309" s="7">
        <v>45234</v>
      </c>
      <c r="H309">
        <v>157</v>
      </c>
      <c r="I309">
        <v>255.39500000000001</v>
      </c>
      <c r="J309">
        <v>274.99</v>
      </c>
    </row>
    <row r="310" spans="1:10" x14ac:dyDescent="0.45">
      <c r="A310" t="s">
        <v>337</v>
      </c>
      <c r="B310" t="s">
        <v>17</v>
      </c>
      <c r="C310" t="s">
        <v>12</v>
      </c>
      <c r="D310" t="s">
        <v>19</v>
      </c>
      <c r="E310" t="s">
        <v>14</v>
      </c>
      <c r="F310" t="s">
        <v>15</v>
      </c>
      <c r="G310" s="7">
        <v>45235</v>
      </c>
      <c r="H310">
        <v>170</v>
      </c>
      <c r="I310">
        <v>341.67</v>
      </c>
      <c r="J310">
        <v>396.47</v>
      </c>
    </row>
    <row r="311" spans="1:10" x14ac:dyDescent="0.45">
      <c r="A311" t="s">
        <v>338</v>
      </c>
      <c r="B311" t="s">
        <v>48</v>
      </c>
      <c r="C311" t="s">
        <v>50</v>
      </c>
      <c r="D311" t="s">
        <v>42</v>
      </c>
      <c r="E311" t="s">
        <v>14</v>
      </c>
      <c r="F311" t="s">
        <v>15</v>
      </c>
      <c r="G311" s="7">
        <v>45236</v>
      </c>
      <c r="H311">
        <v>211</v>
      </c>
      <c r="I311">
        <v>119.26</v>
      </c>
      <c r="J311">
        <v>299.39</v>
      </c>
    </row>
    <row r="312" spans="1:10" x14ac:dyDescent="0.45">
      <c r="A312" t="s">
        <v>339</v>
      </c>
      <c r="B312" t="s">
        <v>17</v>
      </c>
      <c r="C312" t="s">
        <v>18</v>
      </c>
      <c r="D312" t="s">
        <v>27</v>
      </c>
      <c r="E312" t="s">
        <v>14</v>
      </c>
      <c r="F312" t="s">
        <v>28</v>
      </c>
      <c r="G312" s="7">
        <v>45237</v>
      </c>
      <c r="H312">
        <v>433</v>
      </c>
      <c r="I312">
        <v>231.15</v>
      </c>
      <c r="J312">
        <v>296.51</v>
      </c>
    </row>
    <row r="313" spans="1:10" x14ac:dyDescent="0.45">
      <c r="A313" t="s">
        <v>340</v>
      </c>
      <c r="B313" t="s">
        <v>11</v>
      </c>
      <c r="C313" t="s">
        <v>50</v>
      </c>
      <c r="D313" t="s">
        <v>13</v>
      </c>
      <c r="E313" t="s">
        <v>24</v>
      </c>
      <c r="F313" t="s">
        <v>20</v>
      </c>
      <c r="G313" s="7">
        <v>45238</v>
      </c>
      <c r="H313">
        <v>425</v>
      </c>
      <c r="I313">
        <v>99.21</v>
      </c>
      <c r="J313">
        <v>380.22</v>
      </c>
    </row>
    <row r="314" spans="1:10" x14ac:dyDescent="0.45">
      <c r="A314" t="s">
        <v>341</v>
      </c>
      <c r="B314" t="s">
        <v>17</v>
      </c>
      <c r="C314" t="s">
        <v>50</v>
      </c>
      <c r="D314" t="s">
        <v>23</v>
      </c>
      <c r="E314" t="s">
        <v>24</v>
      </c>
      <c r="F314" t="s">
        <v>28</v>
      </c>
      <c r="G314" s="7">
        <v>45239</v>
      </c>
      <c r="H314">
        <v>251</v>
      </c>
      <c r="I314">
        <v>30.91</v>
      </c>
      <c r="J314">
        <v>82.77</v>
      </c>
    </row>
    <row r="315" spans="1:10" x14ac:dyDescent="0.45">
      <c r="A315" t="s">
        <v>342</v>
      </c>
      <c r="B315" t="s">
        <v>11</v>
      </c>
      <c r="C315" t="s">
        <v>26</v>
      </c>
      <c r="D315" t="s">
        <v>19</v>
      </c>
      <c r="E315" t="s">
        <v>14</v>
      </c>
      <c r="F315" t="s">
        <v>15</v>
      </c>
      <c r="G315" s="7">
        <v>45240</v>
      </c>
      <c r="H315">
        <v>248.5</v>
      </c>
      <c r="I315">
        <v>192.35</v>
      </c>
      <c r="J315">
        <v>227.09</v>
      </c>
    </row>
    <row r="316" spans="1:10" x14ac:dyDescent="0.45">
      <c r="A316" t="s">
        <v>343</v>
      </c>
      <c r="B316" t="s">
        <v>11</v>
      </c>
      <c r="C316" t="s">
        <v>26</v>
      </c>
      <c r="D316" t="s">
        <v>13</v>
      </c>
      <c r="E316" t="s">
        <v>14</v>
      </c>
      <c r="F316" t="s">
        <v>15</v>
      </c>
      <c r="G316" s="7">
        <v>45241</v>
      </c>
      <c r="H316">
        <v>11</v>
      </c>
      <c r="I316">
        <v>184.66</v>
      </c>
      <c r="J316">
        <v>391.9</v>
      </c>
    </row>
    <row r="317" spans="1:10" x14ac:dyDescent="0.45">
      <c r="A317" t="s">
        <v>344</v>
      </c>
      <c r="B317" t="s">
        <v>17</v>
      </c>
      <c r="C317" t="s">
        <v>26</v>
      </c>
      <c r="D317" t="s">
        <v>23</v>
      </c>
      <c r="E317" t="s">
        <v>14</v>
      </c>
      <c r="F317" t="s">
        <v>28</v>
      </c>
      <c r="G317" s="7">
        <v>45242</v>
      </c>
      <c r="H317">
        <v>234</v>
      </c>
      <c r="I317">
        <v>497.76</v>
      </c>
      <c r="J317">
        <v>67.790000000000006</v>
      </c>
    </row>
    <row r="318" spans="1:10" x14ac:dyDescent="0.45">
      <c r="A318" t="s">
        <v>345</v>
      </c>
      <c r="B318" t="s">
        <v>11</v>
      </c>
      <c r="C318" t="s">
        <v>50</v>
      </c>
      <c r="D318" t="s">
        <v>23</v>
      </c>
      <c r="E318" t="s">
        <v>14</v>
      </c>
      <c r="F318" t="s">
        <v>20</v>
      </c>
      <c r="G318" s="7">
        <v>45243</v>
      </c>
      <c r="H318">
        <v>248.5</v>
      </c>
      <c r="I318">
        <v>225.94</v>
      </c>
      <c r="J318">
        <v>280.7</v>
      </c>
    </row>
    <row r="319" spans="1:10" x14ac:dyDescent="0.45">
      <c r="A319" t="s">
        <v>346</v>
      </c>
      <c r="B319" t="s">
        <v>22</v>
      </c>
      <c r="C319" t="s">
        <v>31</v>
      </c>
      <c r="D319" t="s">
        <v>42</v>
      </c>
      <c r="E319" t="s">
        <v>14</v>
      </c>
      <c r="F319" t="s">
        <v>20</v>
      </c>
      <c r="G319" s="7">
        <v>45244</v>
      </c>
      <c r="H319">
        <v>242</v>
      </c>
      <c r="I319">
        <v>170.12</v>
      </c>
      <c r="J319">
        <v>235.15</v>
      </c>
    </row>
    <row r="320" spans="1:10" x14ac:dyDescent="0.45">
      <c r="A320" t="s">
        <v>347</v>
      </c>
      <c r="B320" t="s">
        <v>11</v>
      </c>
      <c r="C320" t="s">
        <v>50</v>
      </c>
      <c r="D320" t="s">
        <v>27</v>
      </c>
      <c r="E320" t="s">
        <v>14</v>
      </c>
      <c r="F320" t="s">
        <v>15</v>
      </c>
      <c r="G320" s="7">
        <v>45245</v>
      </c>
      <c r="H320">
        <v>470</v>
      </c>
      <c r="I320">
        <v>292.33999999999997</v>
      </c>
      <c r="J320">
        <v>235.42</v>
      </c>
    </row>
    <row r="321" spans="1:10" x14ac:dyDescent="0.45">
      <c r="A321" t="s">
        <v>348</v>
      </c>
      <c r="B321" t="s">
        <v>48</v>
      </c>
      <c r="C321" t="s">
        <v>31</v>
      </c>
      <c r="D321" t="s">
        <v>27</v>
      </c>
      <c r="E321" t="s">
        <v>24</v>
      </c>
      <c r="F321" t="s">
        <v>15</v>
      </c>
      <c r="G321" s="7">
        <v>45246</v>
      </c>
      <c r="H321">
        <v>423</v>
      </c>
      <c r="I321">
        <v>48.94</v>
      </c>
      <c r="J321">
        <v>279.67</v>
      </c>
    </row>
    <row r="322" spans="1:10" x14ac:dyDescent="0.45">
      <c r="A322" t="s">
        <v>349</v>
      </c>
      <c r="B322" t="s">
        <v>17</v>
      </c>
      <c r="C322" t="s">
        <v>31</v>
      </c>
      <c r="D322" t="s">
        <v>13</v>
      </c>
      <c r="E322" t="s">
        <v>14</v>
      </c>
      <c r="F322" t="s">
        <v>20</v>
      </c>
      <c r="G322" s="7">
        <v>45247</v>
      </c>
      <c r="H322">
        <v>426</v>
      </c>
      <c r="I322">
        <v>481.02</v>
      </c>
      <c r="J322">
        <v>371.99</v>
      </c>
    </row>
    <row r="323" spans="1:10" x14ac:dyDescent="0.45">
      <c r="A323" t="s">
        <v>350</v>
      </c>
      <c r="B323" t="s">
        <v>22</v>
      </c>
      <c r="C323" t="s">
        <v>26</v>
      </c>
      <c r="D323" t="s">
        <v>27</v>
      </c>
      <c r="E323" t="s">
        <v>24</v>
      </c>
      <c r="F323" t="s">
        <v>28</v>
      </c>
      <c r="G323" s="7">
        <v>45248</v>
      </c>
      <c r="H323">
        <v>86</v>
      </c>
      <c r="I323">
        <v>319.31</v>
      </c>
      <c r="J323">
        <v>313.47000000000003</v>
      </c>
    </row>
    <row r="324" spans="1:10" x14ac:dyDescent="0.45">
      <c r="A324" t="s">
        <v>351</v>
      </c>
      <c r="B324" t="s">
        <v>17</v>
      </c>
      <c r="C324" t="s">
        <v>12</v>
      </c>
      <c r="D324" t="s">
        <v>19</v>
      </c>
      <c r="E324" t="s">
        <v>24</v>
      </c>
      <c r="F324" t="s">
        <v>15</v>
      </c>
      <c r="G324" s="7">
        <v>45249</v>
      </c>
      <c r="H324">
        <v>125</v>
      </c>
      <c r="I324">
        <v>378.64</v>
      </c>
      <c r="J324">
        <v>24.34</v>
      </c>
    </row>
    <row r="325" spans="1:10" x14ac:dyDescent="0.45">
      <c r="A325" t="s">
        <v>352</v>
      </c>
      <c r="B325" t="s">
        <v>48</v>
      </c>
      <c r="C325" t="s">
        <v>18</v>
      </c>
      <c r="D325" t="s">
        <v>13</v>
      </c>
      <c r="E325" t="s">
        <v>14</v>
      </c>
      <c r="F325" t="s">
        <v>15</v>
      </c>
      <c r="G325" s="7">
        <v>45250</v>
      </c>
      <c r="H325">
        <v>163</v>
      </c>
      <c r="I325">
        <v>89.39</v>
      </c>
      <c r="J325">
        <v>341.39</v>
      </c>
    </row>
    <row r="326" spans="1:10" x14ac:dyDescent="0.45">
      <c r="A326" t="s">
        <v>353</v>
      </c>
      <c r="B326" t="s">
        <v>48</v>
      </c>
      <c r="C326" t="s">
        <v>26</v>
      </c>
      <c r="D326" t="s">
        <v>13</v>
      </c>
      <c r="E326" t="s">
        <v>24</v>
      </c>
      <c r="F326" t="s">
        <v>20</v>
      </c>
      <c r="G326" s="7">
        <v>45251</v>
      </c>
      <c r="H326">
        <v>415</v>
      </c>
      <c r="I326">
        <v>207.69</v>
      </c>
      <c r="J326">
        <v>91.77</v>
      </c>
    </row>
    <row r="327" spans="1:10" x14ac:dyDescent="0.45">
      <c r="A327" t="s">
        <v>354</v>
      </c>
      <c r="B327" t="s">
        <v>48</v>
      </c>
      <c r="C327" t="s">
        <v>26</v>
      </c>
      <c r="D327" t="s">
        <v>27</v>
      </c>
      <c r="E327" t="s">
        <v>24</v>
      </c>
      <c r="F327" t="s">
        <v>28</v>
      </c>
      <c r="G327" s="7">
        <v>45252</v>
      </c>
      <c r="H327">
        <v>112</v>
      </c>
      <c r="I327">
        <v>214.23</v>
      </c>
      <c r="J327">
        <v>152.01</v>
      </c>
    </row>
    <row r="328" spans="1:10" x14ac:dyDescent="0.45">
      <c r="A328" t="s">
        <v>355</v>
      </c>
      <c r="B328" t="s">
        <v>11</v>
      </c>
      <c r="C328" t="s">
        <v>12</v>
      </c>
      <c r="D328" t="s">
        <v>19</v>
      </c>
      <c r="E328" t="s">
        <v>24</v>
      </c>
      <c r="F328" t="s">
        <v>20</v>
      </c>
      <c r="G328" s="7">
        <v>45253</v>
      </c>
      <c r="H328">
        <v>203</v>
      </c>
      <c r="I328">
        <v>411.79</v>
      </c>
      <c r="J328">
        <v>185.77</v>
      </c>
    </row>
    <row r="329" spans="1:10" x14ac:dyDescent="0.45">
      <c r="A329" t="s">
        <v>356</v>
      </c>
      <c r="B329" t="s">
        <v>11</v>
      </c>
      <c r="C329" t="s">
        <v>18</v>
      </c>
      <c r="D329" t="s">
        <v>42</v>
      </c>
      <c r="E329" t="s">
        <v>24</v>
      </c>
      <c r="F329" t="s">
        <v>28</v>
      </c>
      <c r="G329" s="7">
        <v>45254</v>
      </c>
      <c r="H329">
        <v>248.5</v>
      </c>
      <c r="I329">
        <v>5.61</v>
      </c>
      <c r="J329">
        <v>193.4</v>
      </c>
    </row>
    <row r="330" spans="1:10" x14ac:dyDescent="0.45">
      <c r="A330" t="s">
        <v>357</v>
      </c>
      <c r="B330" t="s">
        <v>17</v>
      </c>
      <c r="C330" t="s">
        <v>50</v>
      </c>
      <c r="D330" t="s">
        <v>13</v>
      </c>
      <c r="E330" t="s">
        <v>24</v>
      </c>
      <c r="F330" t="s">
        <v>28</v>
      </c>
      <c r="G330" s="7">
        <v>45255</v>
      </c>
      <c r="H330">
        <v>368</v>
      </c>
      <c r="I330">
        <v>153.91999999999999</v>
      </c>
      <c r="J330">
        <v>175.2</v>
      </c>
    </row>
    <row r="331" spans="1:10" x14ac:dyDescent="0.45">
      <c r="A331" t="s">
        <v>358</v>
      </c>
      <c r="B331" t="s">
        <v>17</v>
      </c>
      <c r="C331" t="s">
        <v>50</v>
      </c>
      <c r="D331" t="s">
        <v>42</v>
      </c>
      <c r="E331" t="s">
        <v>24</v>
      </c>
      <c r="F331" t="s">
        <v>28</v>
      </c>
      <c r="G331" s="7">
        <v>45256</v>
      </c>
      <c r="H331">
        <v>99</v>
      </c>
      <c r="I331">
        <v>490.71</v>
      </c>
      <c r="J331">
        <v>375.07</v>
      </c>
    </row>
    <row r="332" spans="1:10" x14ac:dyDescent="0.45">
      <c r="A332" t="s">
        <v>359</v>
      </c>
      <c r="B332" t="s">
        <v>22</v>
      </c>
      <c r="C332" t="s">
        <v>26</v>
      </c>
      <c r="D332" t="s">
        <v>42</v>
      </c>
      <c r="E332" t="s">
        <v>14</v>
      </c>
      <c r="F332" t="s">
        <v>15</v>
      </c>
      <c r="G332" s="7">
        <v>45257</v>
      </c>
      <c r="H332">
        <v>183</v>
      </c>
      <c r="I332">
        <v>240.07</v>
      </c>
      <c r="J332">
        <v>283</v>
      </c>
    </row>
    <row r="333" spans="1:10" x14ac:dyDescent="0.45">
      <c r="A333" t="s">
        <v>360</v>
      </c>
      <c r="B333" t="s">
        <v>17</v>
      </c>
      <c r="C333" t="s">
        <v>18</v>
      </c>
      <c r="D333" t="s">
        <v>42</v>
      </c>
      <c r="E333" t="s">
        <v>24</v>
      </c>
      <c r="F333" t="s">
        <v>20</v>
      </c>
      <c r="G333" s="7">
        <v>45258</v>
      </c>
      <c r="H333">
        <v>131</v>
      </c>
      <c r="I333">
        <v>194.35</v>
      </c>
      <c r="J333">
        <v>253.21</v>
      </c>
    </row>
    <row r="334" spans="1:10" x14ac:dyDescent="0.45">
      <c r="A334" t="s">
        <v>361</v>
      </c>
      <c r="B334" t="s">
        <v>17</v>
      </c>
      <c r="C334" t="s">
        <v>26</v>
      </c>
      <c r="D334" t="s">
        <v>23</v>
      </c>
      <c r="E334" t="s">
        <v>24</v>
      </c>
      <c r="F334" t="s">
        <v>20</v>
      </c>
      <c r="G334" s="7">
        <v>45259</v>
      </c>
      <c r="H334">
        <v>152</v>
      </c>
      <c r="I334">
        <v>64.319999999999993</v>
      </c>
      <c r="J334">
        <v>21.84</v>
      </c>
    </row>
    <row r="335" spans="1:10" x14ac:dyDescent="0.45">
      <c r="A335" t="s">
        <v>362</v>
      </c>
      <c r="B335" t="s">
        <v>11</v>
      </c>
      <c r="C335" t="s">
        <v>31</v>
      </c>
      <c r="D335" t="s">
        <v>23</v>
      </c>
      <c r="E335" t="s">
        <v>24</v>
      </c>
      <c r="F335" t="s">
        <v>28</v>
      </c>
      <c r="G335" s="7">
        <v>45260</v>
      </c>
      <c r="H335">
        <v>491</v>
      </c>
      <c r="I335">
        <v>487.21</v>
      </c>
      <c r="J335">
        <v>361.76</v>
      </c>
    </row>
    <row r="336" spans="1:10" x14ac:dyDescent="0.45">
      <c r="A336" t="s">
        <v>363</v>
      </c>
      <c r="B336" t="s">
        <v>48</v>
      </c>
      <c r="C336" t="s">
        <v>26</v>
      </c>
      <c r="D336" t="s">
        <v>42</v>
      </c>
      <c r="E336" t="s">
        <v>14</v>
      </c>
      <c r="F336" t="s">
        <v>15</v>
      </c>
      <c r="G336" s="7">
        <v>45261</v>
      </c>
      <c r="H336">
        <v>115</v>
      </c>
      <c r="I336">
        <v>14.91</v>
      </c>
      <c r="J336">
        <v>363.94</v>
      </c>
    </row>
    <row r="337" spans="1:10" x14ac:dyDescent="0.45">
      <c r="A337" t="s">
        <v>364</v>
      </c>
      <c r="B337" t="s">
        <v>17</v>
      </c>
      <c r="C337" t="s">
        <v>26</v>
      </c>
      <c r="D337" t="s">
        <v>13</v>
      </c>
      <c r="E337" t="s">
        <v>24</v>
      </c>
      <c r="F337" t="s">
        <v>15</v>
      </c>
      <c r="G337" s="7">
        <v>45262</v>
      </c>
      <c r="H337">
        <v>384</v>
      </c>
      <c r="I337">
        <v>369.9</v>
      </c>
      <c r="J337">
        <v>312.52</v>
      </c>
    </row>
    <row r="338" spans="1:10" x14ac:dyDescent="0.45">
      <c r="A338" t="s">
        <v>365</v>
      </c>
      <c r="B338" t="s">
        <v>22</v>
      </c>
      <c r="C338" t="s">
        <v>50</v>
      </c>
      <c r="D338" t="s">
        <v>19</v>
      </c>
      <c r="E338" t="s">
        <v>14</v>
      </c>
      <c r="F338" t="s">
        <v>20</v>
      </c>
      <c r="G338" s="7">
        <v>45263</v>
      </c>
      <c r="H338">
        <v>437</v>
      </c>
      <c r="I338">
        <v>385.46</v>
      </c>
      <c r="J338">
        <v>4.8</v>
      </c>
    </row>
    <row r="339" spans="1:10" x14ac:dyDescent="0.45">
      <c r="A339" t="s">
        <v>366</v>
      </c>
      <c r="B339" t="s">
        <v>11</v>
      </c>
      <c r="C339" t="s">
        <v>50</v>
      </c>
      <c r="D339" t="s">
        <v>19</v>
      </c>
      <c r="E339" t="s">
        <v>24</v>
      </c>
      <c r="F339" t="s">
        <v>15</v>
      </c>
      <c r="G339" s="7">
        <v>45264</v>
      </c>
      <c r="H339">
        <v>314</v>
      </c>
      <c r="I339">
        <v>125.61</v>
      </c>
      <c r="J339">
        <v>24.8</v>
      </c>
    </row>
    <row r="340" spans="1:10" x14ac:dyDescent="0.45">
      <c r="A340" t="s">
        <v>367</v>
      </c>
      <c r="B340" t="s">
        <v>17</v>
      </c>
      <c r="C340" t="s">
        <v>50</v>
      </c>
      <c r="D340" t="s">
        <v>27</v>
      </c>
      <c r="E340" t="s">
        <v>14</v>
      </c>
      <c r="F340" t="s">
        <v>15</v>
      </c>
      <c r="G340" s="7">
        <v>45265</v>
      </c>
      <c r="H340">
        <v>369</v>
      </c>
      <c r="I340">
        <v>337.42</v>
      </c>
      <c r="J340">
        <v>91.64</v>
      </c>
    </row>
    <row r="341" spans="1:10" x14ac:dyDescent="0.45">
      <c r="A341" t="s">
        <v>368</v>
      </c>
      <c r="B341" t="s">
        <v>17</v>
      </c>
      <c r="C341" t="s">
        <v>31</v>
      </c>
      <c r="D341" t="s">
        <v>13</v>
      </c>
      <c r="E341" t="s">
        <v>14</v>
      </c>
      <c r="F341" t="s">
        <v>28</v>
      </c>
      <c r="G341" s="7">
        <v>45266</v>
      </c>
      <c r="H341">
        <v>468</v>
      </c>
      <c r="I341">
        <v>51</v>
      </c>
      <c r="J341">
        <v>54.28</v>
      </c>
    </row>
    <row r="342" spans="1:10" x14ac:dyDescent="0.45">
      <c r="A342" t="s">
        <v>369</v>
      </c>
      <c r="B342" t="s">
        <v>11</v>
      </c>
      <c r="C342" t="s">
        <v>50</v>
      </c>
      <c r="D342" t="s">
        <v>23</v>
      </c>
      <c r="E342" t="s">
        <v>24</v>
      </c>
      <c r="F342" t="s">
        <v>15</v>
      </c>
      <c r="G342" s="7">
        <v>45267</v>
      </c>
      <c r="H342">
        <v>326</v>
      </c>
      <c r="I342">
        <v>132.24</v>
      </c>
      <c r="J342">
        <v>160.74</v>
      </c>
    </row>
    <row r="343" spans="1:10" x14ac:dyDescent="0.45">
      <c r="A343" t="s">
        <v>370</v>
      </c>
      <c r="B343" t="s">
        <v>17</v>
      </c>
      <c r="C343" t="s">
        <v>18</v>
      </c>
      <c r="D343" t="s">
        <v>42</v>
      </c>
      <c r="E343" t="s">
        <v>24</v>
      </c>
      <c r="F343" t="s">
        <v>28</v>
      </c>
      <c r="G343" s="7">
        <v>45268</v>
      </c>
      <c r="H343">
        <v>460</v>
      </c>
      <c r="I343">
        <v>395.01</v>
      </c>
      <c r="J343">
        <v>369.2</v>
      </c>
    </row>
    <row r="344" spans="1:10" x14ac:dyDescent="0.45">
      <c r="A344" t="s">
        <v>371</v>
      </c>
      <c r="B344" t="s">
        <v>11</v>
      </c>
      <c r="C344" t="s">
        <v>12</v>
      </c>
      <c r="D344" t="s">
        <v>27</v>
      </c>
      <c r="E344" t="s">
        <v>14</v>
      </c>
      <c r="F344" t="s">
        <v>20</v>
      </c>
      <c r="G344" s="7">
        <v>45269</v>
      </c>
      <c r="H344">
        <v>132</v>
      </c>
      <c r="I344">
        <v>433.02</v>
      </c>
      <c r="J344">
        <v>189.88</v>
      </c>
    </row>
    <row r="345" spans="1:10" x14ac:dyDescent="0.45">
      <c r="A345" t="s">
        <v>372</v>
      </c>
      <c r="B345" t="s">
        <v>48</v>
      </c>
      <c r="C345" t="s">
        <v>18</v>
      </c>
      <c r="D345" t="s">
        <v>19</v>
      </c>
      <c r="E345" t="s">
        <v>24</v>
      </c>
      <c r="F345" t="s">
        <v>15</v>
      </c>
      <c r="G345" s="7">
        <v>45270</v>
      </c>
      <c r="H345">
        <v>399</v>
      </c>
      <c r="I345">
        <v>306.2</v>
      </c>
      <c r="J345">
        <v>7.33</v>
      </c>
    </row>
    <row r="346" spans="1:10" x14ac:dyDescent="0.45">
      <c r="A346" t="s">
        <v>373</v>
      </c>
      <c r="B346" t="s">
        <v>11</v>
      </c>
      <c r="C346" t="s">
        <v>18</v>
      </c>
      <c r="D346" t="s">
        <v>23</v>
      </c>
      <c r="E346" t="s">
        <v>14</v>
      </c>
      <c r="F346" t="s">
        <v>20</v>
      </c>
      <c r="G346" s="7">
        <v>45271</v>
      </c>
      <c r="H346">
        <v>18</v>
      </c>
      <c r="I346">
        <v>255.89</v>
      </c>
      <c r="J346">
        <v>114.53</v>
      </c>
    </row>
    <row r="347" spans="1:10" x14ac:dyDescent="0.45">
      <c r="A347" t="s">
        <v>374</v>
      </c>
      <c r="B347" t="s">
        <v>11</v>
      </c>
      <c r="C347" t="s">
        <v>50</v>
      </c>
      <c r="D347" t="s">
        <v>23</v>
      </c>
      <c r="E347" t="s">
        <v>14</v>
      </c>
      <c r="F347" t="s">
        <v>20</v>
      </c>
      <c r="G347" s="7">
        <v>45272</v>
      </c>
      <c r="H347">
        <v>271</v>
      </c>
      <c r="I347">
        <v>83.86</v>
      </c>
      <c r="J347">
        <v>19.75</v>
      </c>
    </row>
    <row r="348" spans="1:10" x14ac:dyDescent="0.45">
      <c r="A348" t="s">
        <v>375</v>
      </c>
      <c r="B348" t="s">
        <v>17</v>
      </c>
      <c r="C348" t="s">
        <v>12</v>
      </c>
      <c r="D348" t="s">
        <v>42</v>
      </c>
      <c r="E348" t="s">
        <v>14</v>
      </c>
      <c r="F348" t="s">
        <v>15</v>
      </c>
      <c r="G348" s="7">
        <v>45273</v>
      </c>
      <c r="H348">
        <v>82</v>
      </c>
      <c r="I348">
        <v>36.24</v>
      </c>
      <c r="J348">
        <v>16.440000000000001</v>
      </c>
    </row>
    <row r="349" spans="1:10" x14ac:dyDescent="0.45">
      <c r="A349" t="s">
        <v>376</v>
      </c>
      <c r="B349" t="s">
        <v>17</v>
      </c>
      <c r="C349" t="s">
        <v>12</v>
      </c>
      <c r="D349" t="s">
        <v>19</v>
      </c>
      <c r="E349" t="s">
        <v>14</v>
      </c>
      <c r="F349" t="s">
        <v>15</v>
      </c>
      <c r="G349" s="7">
        <v>45274</v>
      </c>
      <c r="H349">
        <v>368</v>
      </c>
      <c r="I349">
        <v>63.24</v>
      </c>
      <c r="J349">
        <v>111.74</v>
      </c>
    </row>
    <row r="350" spans="1:10" x14ac:dyDescent="0.45">
      <c r="A350" t="s">
        <v>377</v>
      </c>
      <c r="B350" t="s">
        <v>17</v>
      </c>
      <c r="C350" t="s">
        <v>12</v>
      </c>
      <c r="D350" t="s">
        <v>13</v>
      </c>
      <c r="E350" t="s">
        <v>14</v>
      </c>
      <c r="F350" t="s">
        <v>20</v>
      </c>
      <c r="G350" s="7">
        <v>45275</v>
      </c>
      <c r="H350">
        <v>232</v>
      </c>
      <c r="I350">
        <v>117.54</v>
      </c>
      <c r="J350">
        <v>111.69</v>
      </c>
    </row>
    <row r="351" spans="1:10" x14ac:dyDescent="0.45">
      <c r="A351" t="s">
        <v>378</v>
      </c>
      <c r="B351" t="s">
        <v>11</v>
      </c>
      <c r="C351" t="s">
        <v>31</v>
      </c>
      <c r="D351" t="s">
        <v>23</v>
      </c>
      <c r="E351" t="s">
        <v>24</v>
      </c>
      <c r="F351" t="s">
        <v>15</v>
      </c>
      <c r="G351" s="7">
        <v>45276</v>
      </c>
      <c r="H351">
        <v>425</v>
      </c>
      <c r="I351">
        <v>174.13</v>
      </c>
      <c r="J351">
        <v>315.27999999999997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69DD-6D50-4E96-9C07-3F479C42FCF8}">
  <dimension ref="A1:N353"/>
  <sheetViews>
    <sheetView topLeftCell="B1" workbookViewId="0">
      <selection activeCell="P342" sqref="P342"/>
    </sheetView>
  </sheetViews>
  <sheetFormatPr defaultRowHeight="14.25" x14ac:dyDescent="0.45"/>
  <cols>
    <col min="7" max="7" width="18.1328125" bestFit="1" customWidth="1"/>
    <col min="10" max="10" width="8.6640625" bestFit="1" customWidth="1"/>
    <col min="11" max="11" width="13.1328125" bestFit="1" customWidth="1"/>
    <col min="14" max="14" width="12.1328125" customWidth="1"/>
  </cols>
  <sheetData>
    <row r="1" spans="1:14" ht="18" x14ac:dyDescent="0.45">
      <c r="A1" s="9" t="s">
        <v>386</v>
      </c>
      <c r="B1" s="8"/>
      <c r="C1" s="8"/>
      <c r="D1" s="8"/>
      <c r="E1" s="8"/>
      <c r="F1" s="8"/>
      <c r="G1" s="8"/>
    </row>
    <row r="3" spans="1:14" x14ac:dyDescent="0.45">
      <c r="A3" s="6" t="s">
        <v>0</v>
      </c>
      <c r="B3" s="6" t="s">
        <v>1</v>
      </c>
      <c r="C3" s="6" t="s">
        <v>2</v>
      </c>
      <c r="D3" s="6" t="s">
        <v>3</v>
      </c>
      <c r="E3" s="6" t="s">
        <v>4</v>
      </c>
      <c r="F3" s="6" t="s">
        <v>5</v>
      </c>
      <c r="G3" s="6" t="s">
        <v>6</v>
      </c>
      <c r="H3" s="6" t="s">
        <v>7</v>
      </c>
      <c r="I3" s="6" t="s">
        <v>8</v>
      </c>
      <c r="J3" s="6" t="s">
        <v>9</v>
      </c>
      <c r="K3" s="6" t="s">
        <v>383</v>
      </c>
      <c r="M3" s="10" t="s">
        <v>384</v>
      </c>
      <c r="N3" s="10" t="s">
        <v>385</v>
      </c>
    </row>
    <row r="4" spans="1:14" x14ac:dyDescent="0.45">
      <c r="A4" t="s">
        <v>10</v>
      </c>
      <c r="B4" t="s">
        <v>11</v>
      </c>
      <c r="C4" t="s">
        <v>12</v>
      </c>
      <c r="D4" t="s">
        <v>13</v>
      </c>
      <c r="E4" t="s">
        <v>14</v>
      </c>
      <c r="F4" t="s">
        <v>15</v>
      </c>
      <c r="G4" s="7">
        <v>44927</v>
      </c>
      <c r="H4">
        <v>235</v>
      </c>
      <c r="I4">
        <v>152.91999999999999</v>
      </c>
      <c r="J4">
        <v>153.6</v>
      </c>
      <c r="K4">
        <v>35936.199999999997</v>
      </c>
      <c r="M4">
        <f>$H4*$I4</f>
        <v>35936.199999999997</v>
      </c>
      <c r="N4" s="11" t="str">
        <f>IF(K4=M4,"True","False")</f>
        <v>True</v>
      </c>
    </row>
    <row r="5" spans="1:14" x14ac:dyDescent="0.45">
      <c r="A5" t="s">
        <v>16</v>
      </c>
      <c r="B5" t="s">
        <v>17</v>
      </c>
      <c r="C5" t="s">
        <v>18</v>
      </c>
      <c r="D5" t="s">
        <v>19</v>
      </c>
      <c r="E5" t="s">
        <v>14</v>
      </c>
      <c r="F5" t="s">
        <v>20</v>
      </c>
      <c r="G5" s="7">
        <v>44928</v>
      </c>
      <c r="H5">
        <v>341</v>
      </c>
      <c r="I5">
        <v>467.92</v>
      </c>
      <c r="J5">
        <v>139.84</v>
      </c>
      <c r="K5">
        <v>159560.72</v>
      </c>
      <c r="M5">
        <f t="shared" ref="M5:M68" si="0">$H5*$I5</f>
        <v>159560.72</v>
      </c>
      <c r="N5" s="11" t="str">
        <f t="shared" ref="N5:N68" si="1">IF(K5=M5,"True","False")</f>
        <v>True</v>
      </c>
    </row>
    <row r="6" spans="1:14" x14ac:dyDescent="0.45">
      <c r="A6" t="s">
        <v>21</v>
      </c>
      <c r="B6" t="s">
        <v>22</v>
      </c>
      <c r="C6" t="s">
        <v>18</v>
      </c>
      <c r="D6" t="s">
        <v>23</v>
      </c>
      <c r="E6" t="s">
        <v>24</v>
      </c>
      <c r="F6" t="s">
        <v>15</v>
      </c>
      <c r="G6" s="7">
        <v>44929</v>
      </c>
      <c r="H6">
        <v>179</v>
      </c>
      <c r="I6">
        <v>473.94</v>
      </c>
      <c r="J6">
        <v>97.14</v>
      </c>
      <c r="K6">
        <v>84835.26</v>
      </c>
      <c r="M6">
        <f t="shared" si="0"/>
        <v>84835.26</v>
      </c>
      <c r="N6" s="11" t="str">
        <f t="shared" si="1"/>
        <v>True</v>
      </c>
    </row>
    <row r="7" spans="1:14" x14ac:dyDescent="0.45">
      <c r="A7" t="s">
        <v>25</v>
      </c>
      <c r="B7" t="s">
        <v>11</v>
      </c>
      <c r="C7" t="s">
        <v>26</v>
      </c>
      <c r="D7" t="s">
        <v>27</v>
      </c>
      <c r="E7" t="s">
        <v>24</v>
      </c>
      <c r="F7" t="s">
        <v>28</v>
      </c>
      <c r="G7" s="7">
        <v>44930</v>
      </c>
      <c r="H7">
        <v>18</v>
      </c>
      <c r="I7">
        <v>314.52999999999997</v>
      </c>
      <c r="J7">
        <v>204.87</v>
      </c>
      <c r="K7">
        <v>5661.5399999999991</v>
      </c>
      <c r="M7">
        <f t="shared" si="0"/>
        <v>5661.5399999999991</v>
      </c>
      <c r="N7" s="11" t="str">
        <f t="shared" si="1"/>
        <v>True</v>
      </c>
    </row>
    <row r="8" spans="1:14" x14ac:dyDescent="0.45">
      <c r="A8" t="s">
        <v>29</v>
      </c>
      <c r="B8" t="s">
        <v>11</v>
      </c>
      <c r="C8" t="s">
        <v>18</v>
      </c>
      <c r="D8" t="s">
        <v>27</v>
      </c>
      <c r="E8" t="s">
        <v>24</v>
      </c>
      <c r="F8" t="s">
        <v>28</v>
      </c>
      <c r="G8" s="7">
        <v>44931</v>
      </c>
      <c r="H8">
        <v>472</v>
      </c>
      <c r="I8">
        <v>392.79</v>
      </c>
      <c r="J8">
        <v>330.46</v>
      </c>
      <c r="K8">
        <v>185396.88</v>
      </c>
      <c r="M8">
        <f t="shared" si="0"/>
        <v>185396.88</v>
      </c>
      <c r="N8" s="11" t="str">
        <f t="shared" si="1"/>
        <v>True</v>
      </c>
    </row>
    <row r="9" spans="1:14" x14ac:dyDescent="0.45">
      <c r="A9" t="s">
        <v>30</v>
      </c>
      <c r="B9" t="s">
        <v>17</v>
      </c>
      <c r="C9" t="s">
        <v>31</v>
      </c>
      <c r="D9" t="s">
        <v>23</v>
      </c>
      <c r="E9" t="s">
        <v>14</v>
      </c>
      <c r="F9" t="s">
        <v>15</v>
      </c>
      <c r="G9" s="7">
        <v>44932</v>
      </c>
      <c r="H9">
        <v>49</v>
      </c>
      <c r="I9">
        <v>308.07</v>
      </c>
      <c r="J9">
        <v>113.32</v>
      </c>
      <c r="K9">
        <v>15095.43</v>
      </c>
      <c r="M9">
        <f t="shared" si="0"/>
        <v>15095.43</v>
      </c>
      <c r="N9" s="11" t="str">
        <f t="shared" si="1"/>
        <v>True</v>
      </c>
    </row>
    <row r="10" spans="1:14" x14ac:dyDescent="0.45">
      <c r="A10" t="s">
        <v>32</v>
      </c>
      <c r="B10" t="s">
        <v>22</v>
      </c>
      <c r="C10" t="s">
        <v>12</v>
      </c>
      <c r="D10" t="s">
        <v>23</v>
      </c>
      <c r="E10" t="s">
        <v>14</v>
      </c>
      <c r="F10" t="s">
        <v>20</v>
      </c>
      <c r="G10" s="7">
        <v>44933</v>
      </c>
      <c r="H10">
        <v>34</v>
      </c>
      <c r="I10">
        <v>244.78</v>
      </c>
      <c r="J10">
        <v>377.07</v>
      </c>
      <c r="K10">
        <v>8322.52</v>
      </c>
      <c r="M10">
        <f t="shared" si="0"/>
        <v>8322.52</v>
      </c>
      <c r="N10" s="11" t="str">
        <f t="shared" si="1"/>
        <v>True</v>
      </c>
    </row>
    <row r="11" spans="1:14" x14ac:dyDescent="0.45">
      <c r="A11" t="s">
        <v>33</v>
      </c>
      <c r="B11" t="s">
        <v>22</v>
      </c>
      <c r="C11" t="s">
        <v>18</v>
      </c>
      <c r="D11" t="s">
        <v>13</v>
      </c>
      <c r="E11" t="s">
        <v>14</v>
      </c>
      <c r="F11" t="s">
        <v>15</v>
      </c>
      <c r="G11" s="7">
        <v>44934</v>
      </c>
      <c r="H11">
        <v>270</v>
      </c>
      <c r="I11">
        <v>332.11</v>
      </c>
      <c r="J11">
        <v>349.59</v>
      </c>
      <c r="K11">
        <v>89669.7</v>
      </c>
      <c r="M11">
        <f t="shared" si="0"/>
        <v>89669.7</v>
      </c>
      <c r="N11" s="11" t="str">
        <f t="shared" si="1"/>
        <v>True</v>
      </c>
    </row>
    <row r="12" spans="1:14" x14ac:dyDescent="0.45">
      <c r="A12" t="s">
        <v>34</v>
      </c>
      <c r="B12" t="s">
        <v>11</v>
      </c>
      <c r="C12" t="s">
        <v>18</v>
      </c>
      <c r="D12" t="s">
        <v>13</v>
      </c>
      <c r="E12" t="s">
        <v>14</v>
      </c>
      <c r="F12" t="s">
        <v>20</v>
      </c>
      <c r="G12" s="7">
        <v>44935</v>
      </c>
      <c r="H12">
        <v>404</v>
      </c>
      <c r="I12">
        <v>278.74</v>
      </c>
      <c r="J12">
        <v>66.38</v>
      </c>
      <c r="K12">
        <v>112610.96</v>
      </c>
      <c r="M12">
        <f t="shared" si="0"/>
        <v>112610.96</v>
      </c>
      <c r="N12" s="11" t="str">
        <f t="shared" si="1"/>
        <v>True</v>
      </c>
    </row>
    <row r="13" spans="1:14" x14ac:dyDescent="0.45">
      <c r="A13" t="s">
        <v>35</v>
      </c>
      <c r="B13" t="s">
        <v>17</v>
      </c>
      <c r="C13" t="s">
        <v>26</v>
      </c>
      <c r="D13" t="s">
        <v>27</v>
      </c>
      <c r="E13" t="s">
        <v>14</v>
      </c>
      <c r="F13" t="s">
        <v>28</v>
      </c>
      <c r="G13" s="7">
        <v>44936</v>
      </c>
      <c r="H13">
        <v>452</v>
      </c>
      <c r="I13">
        <v>300.75</v>
      </c>
      <c r="J13">
        <v>314.94</v>
      </c>
      <c r="K13">
        <v>135939</v>
      </c>
      <c r="M13">
        <f t="shared" si="0"/>
        <v>135939</v>
      </c>
      <c r="N13" s="11" t="str">
        <f t="shared" si="1"/>
        <v>True</v>
      </c>
    </row>
    <row r="14" spans="1:14" x14ac:dyDescent="0.45">
      <c r="A14" t="s">
        <v>36</v>
      </c>
      <c r="B14" t="s">
        <v>11</v>
      </c>
      <c r="C14" t="s">
        <v>26</v>
      </c>
      <c r="D14" t="s">
        <v>19</v>
      </c>
      <c r="E14" t="s">
        <v>14</v>
      </c>
      <c r="F14" t="s">
        <v>20</v>
      </c>
      <c r="G14" s="7">
        <v>44937</v>
      </c>
      <c r="H14">
        <v>235</v>
      </c>
      <c r="I14">
        <v>393</v>
      </c>
      <c r="J14">
        <v>230.69</v>
      </c>
      <c r="K14">
        <v>92355</v>
      </c>
      <c r="M14">
        <f t="shared" si="0"/>
        <v>92355</v>
      </c>
      <c r="N14" s="11" t="str">
        <f t="shared" si="1"/>
        <v>True</v>
      </c>
    </row>
    <row r="15" spans="1:14" x14ac:dyDescent="0.45">
      <c r="A15" t="s">
        <v>37</v>
      </c>
      <c r="B15" t="s">
        <v>11</v>
      </c>
      <c r="C15" t="s">
        <v>31</v>
      </c>
      <c r="D15" t="s">
        <v>27</v>
      </c>
      <c r="E15" t="s">
        <v>24</v>
      </c>
      <c r="F15" t="s">
        <v>28</v>
      </c>
      <c r="G15" s="7">
        <v>44938</v>
      </c>
      <c r="H15">
        <v>481</v>
      </c>
      <c r="I15">
        <v>243.05</v>
      </c>
      <c r="J15">
        <v>227.5</v>
      </c>
      <c r="K15">
        <v>116907.05</v>
      </c>
      <c r="M15">
        <f t="shared" si="0"/>
        <v>116907.05</v>
      </c>
      <c r="N15" s="11" t="str">
        <f t="shared" si="1"/>
        <v>True</v>
      </c>
    </row>
    <row r="16" spans="1:14" x14ac:dyDescent="0.45">
      <c r="A16" t="s">
        <v>38</v>
      </c>
      <c r="B16" t="s">
        <v>11</v>
      </c>
      <c r="C16" t="s">
        <v>12</v>
      </c>
      <c r="D16" t="s">
        <v>19</v>
      </c>
      <c r="E16" t="s">
        <v>24</v>
      </c>
      <c r="F16" t="s">
        <v>20</v>
      </c>
      <c r="G16" s="7">
        <v>44939</v>
      </c>
      <c r="H16">
        <v>133</v>
      </c>
      <c r="I16">
        <v>25.17</v>
      </c>
      <c r="J16">
        <v>157.63999999999999</v>
      </c>
      <c r="K16">
        <v>3347.61</v>
      </c>
      <c r="M16">
        <f t="shared" si="0"/>
        <v>3347.61</v>
      </c>
      <c r="N16" s="11" t="str">
        <f t="shared" si="1"/>
        <v>True</v>
      </c>
    </row>
    <row r="17" spans="1:14" x14ac:dyDescent="0.45">
      <c r="A17" t="s">
        <v>39</v>
      </c>
      <c r="B17" t="s">
        <v>11</v>
      </c>
      <c r="C17" t="s">
        <v>26</v>
      </c>
      <c r="D17" t="s">
        <v>19</v>
      </c>
      <c r="E17" t="s">
        <v>24</v>
      </c>
      <c r="F17" t="s">
        <v>20</v>
      </c>
      <c r="G17" s="7">
        <v>44940</v>
      </c>
      <c r="H17">
        <v>472</v>
      </c>
      <c r="I17">
        <v>86.18</v>
      </c>
      <c r="J17">
        <v>201.46</v>
      </c>
      <c r="K17">
        <v>40676.960000000006</v>
      </c>
      <c r="M17">
        <f t="shared" si="0"/>
        <v>40676.960000000006</v>
      </c>
      <c r="N17" s="11" t="str">
        <f t="shared" si="1"/>
        <v>True</v>
      </c>
    </row>
    <row r="18" spans="1:14" x14ac:dyDescent="0.45">
      <c r="A18" t="s">
        <v>40</v>
      </c>
      <c r="B18" t="s">
        <v>17</v>
      </c>
      <c r="C18" t="s">
        <v>18</v>
      </c>
      <c r="D18" t="s">
        <v>13</v>
      </c>
      <c r="E18" t="s">
        <v>24</v>
      </c>
      <c r="F18" t="s">
        <v>20</v>
      </c>
      <c r="G18" s="7">
        <v>44941</v>
      </c>
      <c r="H18">
        <v>47</v>
      </c>
      <c r="I18">
        <v>222.11</v>
      </c>
      <c r="J18">
        <v>160.08000000000001</v>
      </c>
      <c r="K18">
        <v>10439.17</v>
      </c>
      <c r="M18">
        <f t="shared" si="0"/>
        <v>10439.17</v>
      </c>
      <c r="N18" s="11" t="str">
        <f t="shared" si="1"/>
        <v>True</v>
      </c>
    </row>
    <row r="19" spans="1:14" x14ac:dyDescent="0.45">
      <c r="A19" t="s">
        <v>41</v>
      </c>
      <c r="B19" t="s">
        <v>22</v>
      </c>
      <c r="C19" t="s">
        <v>12</v>
      </c>
      <c r="D19" t="s">
        <v>42</v>
      </c>
      <c r="E19" t="s">
        <v>14</v>
      </c>
      <c r="F19" t="s">
        <v>15</v>
      </c>
      <c r="G19" s="7">
        <v>44942</v>
      </c>
      <c r="H19">
        <v>337</v>
      </c>
      <c r="I19">
        <v>363.79</v>
      </c>
      <c r="J19">
        <v>216.81</v>
      </c>
      <c r="K19">
        <v>122597.23</v>
      </c>
      <c r="M19">
        <f t="shared" si="0"/>
        <v>122597.23000000001</v>
      </c>
      <c r="N19" s="11" t="str">
        <f t="shared" si="1"/>
        <v>True</v>
      </c>
    </row>
    <row r="20" spans="1:14" x14ac:dyDescent="0.45">
      <c r="A20" t="s">
        <v>43</v>
      </c>
      <c r="B20" t="s">
        <v>17</v>
      </c>
      <c r="C20" t="s">
        <v>12</v>
      </c>
      <c r="D20" t="s">
        <v>42</v>
      </c>
      <c r="E20" t="s">
        <v>14</v>
      </c>
      <c r="F20" t="s">
        <v>15</v>
      </c>
      <c r="G20" s="7">
        <v>44943</v>
      </c>
      <c r="H20">
        <v>260</v>
      </c>
      <c r="I20">
        <v>298.67</v>
      </c>
      <c r="J20">
        <v>251.92</v>
      </c>
      <c r="K20">
        <v>77654.2</v>
      </c>
      <c r="M20">
        <f t="shared" si="0"/>
        <v>77654.2</v>
      </c>
      <c r="N20" s="11" t="str">
        <f t="shared" si="1"/>
        <v>True</v>
      </c>
    </row>
    <row r="21" spans="1:14" x14ac:dyDescent="0.45">
      <c r="A21" t="s">
        <v>44</v>
      </c>
      <c r="B21" t="s">
        <v>17</v>
      </c>
      <c r="C21" t="s">
        <v>18</v>
      </c>
      <c r="D21" t="s">
        <v>23</v>
      </c>
      <c r="E21" t="s">
        <v>24</v>
      </c>
      <c r="F21" t="s">
        <v>28</v>
      </c>
      <c r="G21" s="7">
        <v>44944</v>
      </c>
      <c r="H21">
        <v>398</v>
      </c>
      <c r="I21">
        <v>326.89999999999998</v>
      </c>
      <c r="J21">
        <v>270.37</v>
      </c>
      <c r="K21">
        <v>130106.2</v>
      </c>
      <c r="M21">
        <f t="shared" si="0"/>
        <v>130106.2</v>
      </c>
      <c r="N21" s="11" t="str">
        <f t="shared" si="1"/>
        <v>True</v>
      </c>
    </row>
    <row r="22" spans="1:14" x14ac:dyDescent="0.45">
      <c r="A22" t="s">
        <v>45</v>
      </c>
      <c r="B22" t="s">
        <v>17</v>
      </c>
      <c r="C22" t="s">
        <v>26</v>
      </c>
      <c r="D22" t="s">
        <v>13</v>
      </c>
      <c r="E22" t="s">
        <v>14</v>
      </c>
      <c r="F22" t="s">
        <v>28</v>
      </c>
      <c r="G22" s="7">
        <v>44945</v>
      </c>
      <c r="H22">
        <v>185</v>
      </c>
      <c r="I22">
        <v>242.24</v>
      </c>
      <c r="J22">
        <v>213.93</v>
      </c>
      <c r="K22">
        <v>44814.400000000001</v>
      </c>
      <c r="M22">
        <f t="shared" si="0"/>
        <v>44814.400000000001</v>
      </c>
      <c r="N22" s="11" t="str">
        <f t="shared" si="1"/>
        <v>True</v>
      </c>
    </row>
    <row r="23" spans="1:14" x14ac:dyDescent="0.45">
      <c r="A23" t="s">
        <v>46</v>
      </c>
      <c r="B23" t="s">
        <v>11</v>
      </c>
      <c r="C23" t="s">
        <v>18</v>
      </c>
      <c r="D23" t="s">
        <v>19</v>
      </c>
      <c r="E23" t="s">
        <v>24</v>
      </c>
      <c r="F23" t="s">
        <v>15</v>
      </c>
      <c r="G23" s="7">
        <v>44946</v>
      </c>
      <c r="H23">
        <v>99</v>
      </c>
      <c r="I23">
        <v>309.79000000000002</v>
      </c>
      <c r="J23">
        <v>289.13</v>
      </c>
      <c r="K23">
        <v>30669.21</v>
      </c>
      <c r="M23">
        <f t="shared" si="0"/>
        <v>30669.210000000003</v>
      </c>
      <c r="N23" s="11" t="str">
        <f t="shared" si="1"/>
        <v>True</v>
      </c>
    </row>
    <row r="24" spans="1:14" x14ac:dyDescent="0.45">
      <c r="A24" t="s">
        <v>47</v>
      </c>
      <c r="B24" t="s">
        <v>48</v>
      </c>
      <c r="C24" t="s">
        <v>12</v>
      </c>
      <c r="D24" t="s">
        <v>42</v>
      </c>
      <c r="E24" t="s">
        <v>24</v>
      </c>
      <c r="F24" t="s">
        <v>28</v>
      </c>
      <c r="G24" s="7">
        <v>44947</v>
      </c>
      <c r="H24">
        <v>411</v>
      </c>
      <c r="I24">
        <v>167.86</v>
      </c>
      <c r="J24">
        <v>58.23</v>
      </c>
      <c r="K24">
        <v>68990.460000000006</v>
      </c>
      <c r="M24">
        <f t="shared" si="0"/>
        <v>68990.460000000006</v>
      </c>
      <c r="N24" s="11" t="str">
        <f t="shared" si="1"/>
        <v>True</v>
      </c>
    </row>
    <row r="25" spans="1:14" x14ac:dyDescent="0.45">
      <c r="A25" t="s">
        <v>49</v>
      </c>
      <c r="B25" t="s">
        <v>22</v>
      </c>
      <c r="C25" t="s">
        <v>50</v>
      </c>
      <c r="D25" t="s">
        <v>19</v>
      </c>
      <c r="E25" t="s">
        <v>24</v>
      </c>
      <c r="F25" t="s">
        <v>15</v>
      </c>
      <c r="G25" s="7">
        <v>44948</v>
      </c>
      <c r="H25">
        <v>463</v>
      </c>
      <c r="I25">
        <v>237.74</v>
      </c>
      <c r="J25">
        <v>86.37</v>
      </c>
      <c r="K25">
        <v>110073.62</v>
      </c>
      <c r="M25">
        <f t="shared" si="0"/>
        <v>110073.62000000001</v>
      </c>
      <c r="N25" s="11" t="str">
        <f t="shared" si="1"/>
        <v>True</v>
      </c>
    </row>
    <row r="26" spans="1:14" x14ac:dyDescent="0.45">
      <c r="A26" t="s">
        <v>51</v>
      </c>
      <c r="B26" t="s">
        <v>48</v>
      </c>
      <c r="C26" t="s">
        <v>50</v>
      </c>
      <c r="D26" t="s">
        <v>42</v>
      </c>
      <c r="E26" t="s">
        <v>14</v>
      </c>
      <c r="F26" t="s">
        <v>20</v>
      </c>
      <c r="G26" s="7">
        <v>44949</v>
      </c>
      <c r="H26">
        <v>46</v>
      </c>
      <c r="I26">
        <v>373.42</v>
      </c>
      <c r="J26">
        <v>327.86</v>
      </c>
      <c r="K26">
        <v>17177.32</v>
      </c>
      <c r="M26">
        <f t="shared" si="0"/>
        <v>17177.32</v>
      </c>
      <c r="N26" s="11" t="str">
        <f t="shared" si="1"/>
        <v>True</v>
      </c>
    </row>
    <row r="27" spans="1:14" x14ac:dyDescent="0.45">
      <c r="A27" t="s">
        <v>52</v>
      </c>
      <c r="B27" t="s">
        <v>17</v>
      </c>
      <c r="C27" t="s">
        <v>31</v>
      </c>
      <c r="D27" t="s">
        <v>42</v>
      </c>
      <c r="E27" t="s">
        <v>24</v>
      </c>
      <c r="F27" t="s">
        <v>28</v>
      </c>
      <c r="G27" s="7">
        <v>44950</v>
      </c>
      <c r="H27">
        <v>325</v>
      </c>
      <c r="I27">
        <v>436.56</v>
      </c>
      <c r="J27">
        <v>130.37</v>
      </c>
      <c r="K27">
        <v>141882</v>
      </c>
      <c r="M27">
        <f t="shared" si="0"/>
        <v>141882</v>
      </c>
      <c r="N27" s="11" t="str">
        <f t="shared" si="1"/>
        <v>True</v>
      </c>
    </row>
    <row r="28" spans="1:14" x14ac:dyDescent="0.45">
      <c r="A28" t="s">
        <v>53</v>
      </c>
      <c r="B28" t="s">
        <v>17</v>
      </c>
      <c r="C28" t="s">
        <v>18</v>
      </c>
      <c r="D28" t="s">
        <v>13</v>
      </c>
      <c r="E28" t="s">
        <v>24</v>
      </c>
      <c r="F28" t="s">
        <v>28</v>
      </c>
      <c r="G28" s="7">
        <v>44951</v>
      </c>
      <c r="H28">
        <v>185</v>
      </c>
      <c r="I28">
        <v>219.66</v>
      </c>
      <c r="J28">
        <v>11.11</v>
      </c>
      <c r="K28">
        <v>40637.1</v>
      </c>
      <c r="M28">
        <f t="shared" si="0"/>
        <v>40637.1</v>
      </c>
      <c r="N28" s="11" t="str">
        <f t="shared" si="1"/>
        <v>True</v>
      </c>
    </row>
    <row r="29" spans="1:14" x14ac:dyDescent="0.45">
      <c r="A29" t="s">
        <v>54</v>
      </c>
      <c r="B29" t="s">
        <v>48</v>
      </c>
      <c r="C29" t="s">
        <v>18</v>
      </c>
      <c r="D29" t="s">
        <v>13</v>
      </c>
      <c r="E29" t="s">
        <v>24</v>
      </c>
      <c r="F29" t="s">
        <v>15</v>
      </c>
      <c r="G29" s="7">
        <v>44952</v>
      </c>
      <c r="H29">
        <v>470</v>
      </c>
      <c r="I29">
        <v>26.61</v>
      </c>
      <c r="J29">
        <v>63.21</v>
      </c>
      <c r="K29">
        <v>12506.7</v>
      </c>
      <c r="M29">
        <f t="shared" si="0"/>
        <v>12506.699999999999</v>
      </c>
      <c r="N29" s="11" t="str">
        <f t="shared" si="1"/>
        <v>True</v>
      </c>
    </row>
    <row r="30" spans="1:14" x14ac:dyDescent="0.45">
      <c r="A30" t="s">
        <v>55</v>
      </c>
      <c r="B30" t="s">
        <v>48</v>
      </c>
      <c r="C30" t="s">
        <v>31</v>
      </c>
      <c r="D30" t="s">
        <v>27</v>
      </c>
      <c r="E30" t="s">
        <v>14</v>
      </c>
      <c r="F30" t="s">
        <v>28</v>
      </c>
      <c r="G30" s="7">
        <v>44953</v>
      </c>
      <c r="H30">
        <v>293</v>
      </c>
      <c r="I30">
        <v>85.03</v>
      </c>
      <c r="J30">
        <v>91</v>
      </c>
      <c r="K30">
        <v>24913.79</v>
      </c>
      <c r="M30">
        <f t="shared" si="0"/>
        <v>24913.79</v>
      </c>
      <c r="N30" s="11" t="str">
        <f t="shared" si="1"/>
        <v>True</v>
      </c>
    </row>
    <row r="31" spans="1:14" x14ac:dyDescent="0.45">
      <c r="A31" t="s">
        <v>56</v>
      </c>
      <c r="B31" t="s">
        <v>48</v>
      </c>
      <c r="C31" t="s">
        <v>31</v>
      </c>
      <c r="D31" t="s">
        <v>19</v>
      </c>
      <c r="E31" t="s">
        <v>14</v>
      </c>
      <c r="F31" t="s">
        <v>28</v>
      </c>
      <c r="G31" s="7">
        <v>44954</v>
      </c>
      <c r="H31">
        <v>462</v>
      </c>
      <c r="I31">
        <v>255.39500000000001</v>
      </c>
      <c r="J31">
        <v>383.01</v>
      </c>
      <c r="K31">
        <v>117992.49</v>
      </c>
      <c r="M31">
        <f t="shared" si="0"/>
        <v>117992.49</v>
      </c>
      <c r="N31" s="11" t="str">
        <f t="shared" si="1"/>
        <v>True</v>
      </c>
    </row>
    <row r="32" spans="1:14" x14ac:dyDescent="0.45">
      <c r="A32" t="s">
        <v>57</v>
      </c>
      <c r="B32" t="s">
        <v>17</v>
      </c>
      <c r="C32" t="s">
        <v>31</v>
      </c>
      <c r="D32" t="s">
        <v>13</v>
      </c>
      <c r="E32" t="s">
        <v>24</v>
      </c>
      <c r="F32" t="s">
        <v>20</v>
      </c>
      <c r="G32" s="7">
        <v>44955</v>
      </c>
      <c r="H32">
        <v>470</v>
      </c>
      <c r="I32">
        <v>328.37</v>
      </c>
      <c r="J32">
        <v>230.07</v>
      </c>
      <c r="K32">
        <v>154333.9</v>
      </c>
      <c r="M32">
        <f t="shared" si="0"/>
        <v>154333.9</v>
      </c>
      <c r="N32" s="11" t="str">
        <f t="shared" si="1"/>
        <v>True</v>
      </c>
    </row>
    <row r="33" spans="1:14" x14ac:dyDescent="0.45">
      <c r="A33" t="s">
        <v>58</v>
      </c>
      <c r="B33" t="s">
        <v>17</v>
      </c>
      <c r="C33" t="s">
        <v>12</v>
      </c>
      <c r="D33" t="s">
        <v>13</v>
      </c>
      <c r="E33" t="s">
        <v>14</v>
      </c>
      <c r="F33" t="s">
        <v>28</v>
      </c>
      <c r="G33" s="7">
        <v>44956</v>
      </c>
      <c r="H33">
        <v>90</v>
      </c>
      <c r="I33">
        <v>169.5</v>
      </c>
      <c r="J33">
        <v>373.23</v>
      </c>
      <c r="K33">
        <v>15255</v>
      </c>
      <c r="M33">
        <f t="shared" si="0"/>
        <v>15255</v>
      </c>
      <c r="N33" s="11" t="str">
        <f t="shared" si="1"/>
        <v>True</v>
      </c>
    </row>
    <row r="34" spans="1:14" x14ac:dyDescent="0.45">
      <c r="A34" t="s">
        <v>59</v>
      </c>
      <c r="B34" t="s">
        <v>17</v>
      </c>
      <c r="C34" t="s">
        <v>18</v>
      </c>
      <c r="D34" t="s">
        <v>13</v>
      </c>
      <c r="E34" t="s">
        <v>14</v>
      </c>
      <c r="F34" t="s">
        <v>20</v>
      </c>
      <c r="G34" s="7">
        <v>44957</v>
      </c>
      <c r="H34">
        <v>123</v>
      </c>
      <c r="I34">
        <v>273.52999999999997</v>
      </c>
      <c r="J34">
        <v>230.92</v>
      </c>
      <c r="K34">
        <v>33644.19</v>
      </c>
      <c r="M34">
        <f t="shared" si="0"/>
        <v>33644.189999999995</v>
      </c>
      <c r="N34" s="11" t="str">
        <f t="shared" si="1"/>
        <v>True</v>
      </c>
    </row>
    <row r="35" spans="1:14" x14ac:dyDescent="0.45">
      <c r="A35" t="s">
        <v>60</v>
      </c>
      <c r="B35" t="s">
        <v>22</v>
      </c>
      <c r="C35" t="s">
        <v>12</v>
      </c>
      <c r="D35" t="s">
        <v>13</v>
      </c>
      <c r="E35" t="s">
        <v>14</v>
      </c>
      <c r="F35" t="s">
        <v>15</v>
      </c>
      <c r="G35" s="7">
        <v>44958</v>
      </c>
      <c r="H35">
        <v>49</v>
      </c>
      <c r="I35">
        <v>249.17</v>
      </c>
      <c r="J35">
        <v>192.78</v>
      </c>
      <c r="K35">
        <v>12209.33</v>
      </c>
      <c r="M35">
        <f t="shared" si="0"/>
        <v>12209.33</v>
      </c>
      <c r="N35" s="11" t="str">
        <f t="shared" si="1"/>
        <v>True</v>
      </c>
    </row>
    <row r="36" spans="1:14" x14ac:dyDescent="0.45">
      <c r="A36" t="s">
        <v>61</v>
      </c>
      <c r="B36" t="s">
        <v>17</v>
      </c>
      <c r="C36" t="s">
        <v>31</v>
      </c>
      <c r="D36" t="s">
        <v>13</v>
      </c>
      <c r="E36" t="s">
        <v>14</v>
      </c>
      <c r="F36" t="s">
        <v>28</v>
      </c>
      <c r="G36" s="7">
        <v>44959</v>
      </c>
      <c r="H36">
        <v>310</v>
      </c>
      <c r="I36">
        <v>45.36</v>
      </c>
      <c r="J36">
        <v>126.86</v>
      </c>
      <c r="K36">
        <v>14061.6</v>
      </c>
      <c r="M36">
        <f t="shared" si="0"/>
        <v>14061.6</v>
      </c>
      <c r="N36" s="11" t="str">
        <f t="shared" si="1"/>
        <v>True</v>
      </c>
    </row>
    <row r="37" spans="1:14" x14ac:dyDescent="0.45">
      <c r="A37" t="s">
        <v>62</v>
      </c>
      <c r="B37" t="s">
        <v>48</v>
      </c>
      <c r="C37" t="s">
        <v>18</v>
      </c>
      <c r="D37" t="s">
        <v>23</v>
      </c>
      <c r="E37" t="s">
        <v>14</v>
      </c>
      <c r="F37" t="s">
        <v>20</v>
      </c>
      <c r="G37" s="7">
        <v>44960</v>
      </c>
      <c r="H37">
        <v>233</v>
      </c>
      <c r="I37">
        <v>204.61</v>
      </c>
      <c r="J37">
        <v>243.34</v>
      </c>
      <c r="K37">
        <v>47674.13</v>
      </c>
      <c r="M37">
        <f t="shared" si="0"/>
        <v>47674.130000000005</v>
      </c>
      <c r="N37" s="11" t="str">
        <f t="shared" si="1"/>
        <v>True</v>
      </c>
    </row>
    <row r="38" spans="1:14" x14ac:dyDescent="0.45">
      <c r="A38" t="s">
        <v>63</v>
      </c>
      <c r="B38" t="s">
        <v>48</v>
      </c>
      <c r="C38" t="s">
        <v>12</v>
      </c>
      <c r="D38" t="s">
        <v>19</v>
      </c>
      <c r="E38" t="s">
        <v>14</v>
      </c>
      <c r="F38" t="s">
        <v>15</v>
      </c>
      <c r="G38" s="7">
        <v>44961</v>
      </c>
      <c r="H38">
        <v>327</v>
      </c>
      <c r="I38">
        <v>114.18</v>
      </c>
      <c r="J38">
        <v>57.4</v>
      </c>
      <c r="K38">
        <v>37336.86</v>
      </c>
      <c r="M38">
        <f t="shared" si="0"/>
        <v>37336.86</v>
      </c>
      <c r="N38" s="11" t="str">
        <f t="shared" si="1"/>
        <v>True</v>
      </c>
    </row>
    <row r="39" spans="1:14" x14ac:dyDescent="0.45">
      <c r="A39" t="s">
        <v>64</v>
      </c>
      <c r="B39" t="s">
        <v>22</v>
      </c>
      <c r="C39" t="s">
        <v>12</v>
      </c>
      <c r="D39" t="s">
        <v>13</v>
      </c>
      <c r="E39" t="s">
        <v>14</v>
      </c>
      <c r="F39" t="s">
        <v>28</v>
      </c>
      <c r="G39" s="7">
        <v>44962</v>
      </c>
      <c r="H39">
        <v>358</v>
      </c>
      <c r="I39">
        <v>212.11</v>
      </c>
      <c r="J39">
        <v>359.51</v>
      </c>
      <c r="K39">
        <v>75935.38</v>
      </c>
      <c r="M39">
        <f t="shared" si="0"/>
        <v>75935.38</v>
      </c>
      <c r="N39" s="11" t="str">
        <f t="shared" si="1"/>
        <v>True</v>
      </c>
    </row>
    <row r="40" spans="1:14" x14ac:dyDescent="0.45">
      <c r="A40" t="s">
        <v>65</v>
      </c>
      <c r="B40" t="s">
        <v>17</v>
      </c>
      <c r="C40" t="s">
        <v>31</v>
      </c>
      <c r="D40" t="s">
        <v>19</v>
      </c>
      <c r="E40" t="s">
        <v>14</v>
      </c>
      <c r="F40" t="s">
        <v>15</v>
      </c>
      <c r="G40" s="7">
        <v>44963</v>
      </c>
      <c r="H40">
        <v>124</v>
      </c>
      <c r="I40">
        <v>255.39500000000001</v>
      </c>
      <c r="J40">
        <v>332.07</v>
      </c>
      <c r="K40">
        <v>31668.98</v>
      </c>
      <c r="M40">
        <f t="shared" si="0"/>
        <v>31668.98</v>
      </c>
      <c r="N40" s="11" t="str">
        <f t="shared" si="1"/>
        <v>True</v>
      </c>
    </row>
    <row r="41" spans="1:14" x14ac:dyDescent="0.45">
      <c r="A41" t="s">
        <v>66</v>
      </c>
      <c r="B41" t="s">
        <v>22</v>
      </c>
      <c r="C41" t="s">
        <v>18</v>
      </c>
      <c r="D41" t="s">
        <v>23</v>
      </c>
      <c r="E41" t="s">
        <v>14</v>
      </c>
      <c r="F41" t="s">
        <v>28</v>
      </c>
      <c r="G41" s="7">
        <v>44964</v>
      </c>
      <c r="H41">
        <v>195</v>
      </c>
      <c r="I41">
        <v>421.02</v>
      </c>
      <c r="J41">
        <v>128.38</v>
      </c>
      <c r="K41">
        <v>82098.899999999994</v>
      </c>
      <c r="M41">
        <f t="shared" si="0"/>
        <v>82098.899999999994</v>
      </c>
      <c r="N41" s="11" t="str">
        <f t="shared" si="1"/>
        <v>True</v>
      </c>
    </row>
    <row r="42" spans="1:14" x14ac:dyDescent="0.45">
      <c r="A42" t="s">
        <v>67</v>
      </c>
      <c r="B42" t="s">
        <v>22</v>
      </c>
      <c r="C42" t="s">
        <v>31</v>
      </c>
      <c r="D42" t="s">
        <v>23</v>
      </c>
      <c r="E42" t="s">
        <v>14</v>
      </c>
      <c r="F42" t="s">
        <v>15</v>
      </c>
      <c r="G42" s="7">
        <v>44965</v>
      </c>
      <c r="H42">
        <v>248.5</v>
      </c>
      <c r="I42">
        <v>91.23</v>
      </c>
      <c r="J42">
        <v>381.21</v>
      </c>
      <c r="K42">
        <v>22670.654999999999</v>
      </c>
      <c r="M42">
        <f t="shared" si="0"/>
        <v>22670.655000000002</v>
      </c>
      <c r="N42" s="11" t="str">
        <f t="shared" si="1"/>
        <v>True</v>
      </c>
    </row>
    <row r="43" spans="1:14" x14ac:dyDescent="0.45">
      <c r="A43" t="s">
        <v>68</v>
      </c>
      <c r="B43" t="s">
        <v>11</v>
      </c>
      <c r="C43" t="s">
        <v>18</v>
      </c>
      <c r="D43" t="s">
        <v>19</v>
      </c>
      <c r="E43" t="s">
        <v>24</v>
      </c>
      <c r="F43" t="s">
        <v>15</v>
      </c>
      <c r="G43" s="7">
        <v>44966</v>
      </c>
      <c r="H43">
        <v>65</v>
      </c>
      <c r="I43">
        <v>480.59</v>
      </c>
      <c r="J43">
        <v>330.43</v>
      </c>
      <c r="K43">
        <v>31238.35</v>
      </c>
      <c r="M43">
        <f t="shared" si="0"/>
        <v>31238.35</v>
      </c>
      <c r="N43" s="11" t="str">
        <f t="shared" si="1"/>
        <v>True</v>
      </c>
    </row>
    <row r="44" spans="1:14" x14ac:dyDescent="0.45">
      <c r="A44" t="s">
        <v>69</v>
      </c>
      <c r="B44" t="s">
        <v>11</v>
      </c>
      <c r="C44" t="s">
        <v>50</v>
      </c>
      <c r="D44" t="s">
        <v>42</v>
      </c>
      <c r="E44" t="s">
        <v>24</v>
      </c>
      <c r="F44" t="s">
        <v>20</v>
      </c>
      <c r="G44" s="7">
        <v>44967</v>
      </c>
      <c r="H44">
        <v>49</v>
      </c>
      <c r="I44">
        <v>210.87</v>
      </c>
      <c r="J44">
        <v>267.19</v>
      </c>
      <c r="K44">
        <v>10332.629999999999</v>
      </c>
      <c r="M44">
        <f t="shared" si="0"/>
        <v>10332.630000000001</v>
      </c>
      <c r="N44" s="11" t="str">
        <f t="shared" si="1"/>
        <v>True</v>
      </c>
    </row>
    <row r="45" spans="1:14" x14ac:dyDescent="0.45">
      <c r="A45" t="s">
        <v>70</v>
      </c>
      <c r="B45" t="s">
        <v>11</v>
      </c>
      <c r="C45" t="s">
        <v>26</v>
      </c>
      <c r="D45" t="s">
        <v>27</v>
      </c>
      <c r="E45" t="s">
        <v>14</v>
      </c>
      <c r="F45" t="s">
        <v>15</v>
      </c>
      <c r="G45" s="7">
        <v>44968</v>
      </c>
      <c r="H45">
        <v>363</v>
      </c>
      <c r="I45">
        <v>423.89</v>
      </c>
      <c r="J45">
        <v>50.46</v>
      </c>
      <c r="K45">
        <v>153872.07</v>
      </c>
      <c r="M45">
        <f t="shared" si="0"/>
        <v>153872.07</v>
      </c>
      <c r="N45" s="11" t="str">
        <f t="shared" si="1"/>
        <v>True</v>
      </c>
    </row>
    <row r="46" spans="1:14" x14ac:dyDescent="0.45">
      <c r="A46" t="s">
        <v>71</v>
      </c>
      <c r="B46" t="s">
        <v>48</v>
      </c>
      <c r="C46" t="s">
        <v>26</v>
      </c>
      <c r="D46" t="s">
        <v>42</v>
      </c>
      <c r="E46" t="s">
        <v>24</v>
      </c>
      <c r="F46" t="s">
        <v>28</v>
      </c>
      <c r="G46" s="7">
        <v>44969</v>
      </c>
      <c r="H46">
        <v>49</v>
      </c>
      <c r="I46">
        <v>316.24</v>
      </c>
      <c r="J46">
        <v>192.34</v>
      </c>
      <c r="K46">
        <v>15495.76</v>
      </c>
      <c r="M46">
        <f t="shared" si="0"/>
        <v>15495.76</v>
      </c>
      <c r="N46" s="11" t="str">
        <f t="shared" si="1"/>
        <v>True</v>
      </c>
    </row>
    <row r="47" spans="1:14" x14ac:dyDescent="0.45">
      <c r="A47" t="s">
        <v>72</v>
      </c>
      <c r="B47" t="s">
        <v>17</v>
      </c>
      <c r="C47" t="s">
        <v>26</v>
      </c>
      <c r="D47" t="s">
        <v>42</v>
      </c>
      <c r="E47" t="s">
        <v>24</v>
      </c>
      <c r="F47" t="s">
        <v>28</v>
      </c>
      <c r="G47" s="7">
        <v>44970</v>
      </c>
      <c r="H47">
        <v>356</v>
      </c>
      <c r="I47">
        <v>369</v>
      </c>
      <c r="J47">
        <v>203.43</v>
      </c>
      <c r="K47">
        <v>131364</v>
      </c>
      <c r="M47">
        <f t="shared" si="0"/>
        <v>131364</v>
      </c>
      <c r="N47" s="11" t="str">
        <f t="shared" si="1"/>
        <v>True</v>
      </c>
    </row>
    <row r="48" spans="1:14" x14ac:dyDescent="0.45">
      <c r="A48" t="s">
        <v>73</v>
      </c>
      <c r="B48" t="s">
        <v>17</v>
      </c>
      <c r="C48" t="s">
        <v>31</v>
      </c>
      <c r="D48" t="s">
        <v>42</v>
      </c>
      <c r="E48" t="s">
        <v>14</v>
      </c>
      <c r="F48" t="s">
        <v>20</v>
      </c>
      <c r="G48" s="7">
        <v>44971</v>
      </c>
      <c r="H48">
        <v>470</v>
      </c>
      <c r="I48">
        <v>255.39500000000001</v>
      </c>
      <c r="J48">
        <v>94.56</v>
      </c>
      <c r="K48">
        <v>120035.65</v>
      </c>
      <c r="M48">
        <f t="shared" si="0"/>
        <v>120035.65000000001</v>
      </c>
      <c r="N48" s="11" t="str">
        <f t="shared" si="1"/>
        <v>True</v>
      </c>
    </row>
    <row r="49" spans="1:14" x14ac:dyDescent="0.45">
      <c r="A49" t="s">
        <v>74</v>
      </c>
      <c r="B49" t="s">
        <v>17</v>
      </c>
      <c r="C49" t="s">
        <v>50</v>
      </c>
      <c r="D49" t="s">
        <v>13</v>
      </c>
      <c r="E49" t="s">
        <v>14</v>
      </c>
      <c r="F49" t="s">
        <v>28</v>
      </c>
      <c r="G49" s="7">
        <v>44972</v>
      </c>
      <c r="H49">
        <v>246</v>
      </c>
      <c r="I49">
        <v>254.9</v>
      </c>
      <c r="J49">
        <v>33.83</v>
      </c>
      <c r="K49">
        <v>62705.4</v>
      </c>
      <c r="M49">
        <f t="shared" si="0"/>
        <v>62705.4</v>
      </c>
      <c r="N49" s="11" t="str">
        <f t="shared" si="1"/>
        <v>True</v>
      </c>
    </row>
    <row r="50" spans="1:14" x14ac:dyDescent="0.45">
      <c r="A50" t="s">
        <v>75</v>
      </c>
      <c r="B50" t="s">
        <v>17</v>
      </c>
      <c r="C50" t="s">
        <v>18</v>
      </c>
      <c r="D50" t="s">
        <v>23</v>
      </c>
      <c r="E50" t="s">
        <v>14</v>
      </c>
      <c r="F50" t="s">
        <v>28</v>
      </c>
      <c r="G50" s="7">
        <v>44973</v>
      </c>
      <c r="H50">
        <v>298</v>
      </c>
      <c r="I50">
        <v>273.93</v>
      </c>
      <c r="J50">
        <v>311.14</v>
      </c>
      <c r="K50">
        <v>81631.14</v>
      </c>
      <c r="M50">
        <f t="shared" si="0"/>
        <v>81631.14</v>
      </c>
      <c r="N50" s="11" t="str">
        <f t="shared" si="1"/>
        <v>True</v>
      </c>
    </row>
    <row r="51" spans="1:14" x14ac:dyDescent="0.45">
      <c r="A51" t="s">
        <v>76</v>
      </c>
      <c r="B51" t="s">
        <v>11</v>
      </c>
      <c r="C51" t="s">
        <v>12</v>
      </c>
      <c r="D51" t="s">
        <v>42</v>
      </c>
      <c r="E51" t="s">
        <v>24</v>
      </c>
      <c r="F51" t="s">
        <v>28</v>
      </c>
      <c r="G51" s="7">
        <v>44974</v>
      </c>
      <c r="H51">
        <v>271</v>
      </c>
      <c r="I51">
        <v>259.43</v>
      </c>
      <c r="J51">
        <v>50.57</v>
      </c>
      <c r="K51">
        <v>70305.53</v>
      </c>
      <c r="M51">
        <f t="shared" si="0"/>
        <v>70305.53</v>
      </c>
      <c r="N51" s="11" t="str">
        <f t="shared" si="1"/>
        <v>True</v>
      </c>
    </row>
    <row r="52" spans="1:14" x14ac:dyDescent="0.45">
      <c r="A52" t="s">
        <v>77</v>
      </c>
      <c r="B52" t="s">
        <v>48</v>
      </c>
      <c r="C52" t="s">
        <v>18</v>
      </c>
      <c r="D52" t="s">
        <v>23</v>
      </c>
      <c r="E52" t="s">
        <v>24</v>
      </c>
      <c r="F52" t="s">
        <v>15</v>
      </c>
      <c r="G52" s="7">
        <v>44975</v>
      </c>
      <c r="H52">
        <v>225</v>
      </c>
      <c r="I52">
        <v>296.08999999999997</v>
      </c>
      <c r="J52">
        <v>238.53</v>
      </c>
      <c r="K52">
        <v>66620.25</v>
      </c>
      <c r="M52">
        <f t="shared" si="0"/>
        <v>66620.25</v>
      </c>
      <c r="N52" s="11" t="str">
        <f t="shared" si="1"/>
        <v>True</v>
      </c>
    </row>
    <row r="53" spans="1:14" x14ac:dyDescent="0.45">
      <c r="A53" t="s">
        <v>78</v>
      </c>
      <c r="B53" t="s">
        <v>17</v>
      </c>
      <c r="C53" t="s">
        <v>12</v>
      </c>
      <c r="D53" t="s">
        <v>19</v>
      </c>
      <c r="E53" t="s">
        <v>14</v>
      </c>
      <c r="F53" t="s">
        <v>15</v>
      </c>
      <c r="G53" s="7">
        <v>44976</v>
      </c>
      <c r="H53">
        <v>156</v>
      </c>
      <c r="I53">
        <v>19.55</v>
      </c>
      <c r="J53">
        <v>374.71</v>
      </c>
      <c r="K53">
        <v>3049.8</v>
      </c>
      <c r="M53">
        <f t="shared" si="0"/>
        <v>3049.8</v>
      </c>
      <c r="N53" s="11" t="str">
        <f t="shared" si="1"/>
        <v>True</v>
      </c>
    </row>
    <row r="54" spans="1:14" x14ac:dyDescent="0.45">
      <c r="A54" t="s">
        <v>79</v>
      </c>
      <c r="B54" t="s">
        <v>11</v>
      </c>
      <c r="C54" t="s">
        <v>18</v>
      </c>
      <c r="D54" t="s">
        <v>27</v>
      </c>
      <c r="E54" t="s">
        <v>14</v>
      </c>
      <c r="F54" t="s">
        <v>28</v>
      </c>
      <c r="G54" s="7">
        <v>44977</v>
      </c>
      <c r="H54">
        <v>345</v>
      </c>
      <c r="I54">
        <v>200.78</v>
      </c>
      <c r="J54">
        <v>350.69</v>
      </c>
      <c r="K54">
        <v>69269.100000000006</v>
      </c>
      <c r="M54">
        <f t="shared" si="0"/>
        <v>69269.100000000006</v>
      </c>
      <c r="N54" s="11" t="str">
        <f t="shared" si="1"/>
        <v>True</v>
      </c>
    </row>
    <row r="55" spans="1:14" x14ac:dyDescent="0.45">
      <c r="A55" t="s">
        <v>80</v>
      </c>
      <c r="B55" t="s">
        <v>48</v>
      </c>
      <c r="C55" t="s">
        <v>50</v>
      </c>
      <c r="D55" t="s">
        <v>19</v>
      </c>
      <c r="E55" t="s">
        <v>14</v>
      </c>
      <c r="F55" t="s">
        <v>20</v>
      </c>
      <c r="G55" s="7">
        <v>44978</v>
      </c>
      <c r="H55">
        <v>177</v>
      </c>
      <c r="I55">
        <v>305.06</v>
      </c>
      <c r="J55">
        <v>112.55</v>
      </c>
      <c r="K55">
        <v>53995.62</v>
      </c>
      <c r="M55">
        <f t="shared" si="0"/>
        <v>53995.62</v>
      </c>
      <c r="N55" s="11" t="str">
        <f t="shared" si="1"/>
        <v>True</v>
      </c>
    </row>
    <row r="56" spans="1:14" x14ac:dyDescent="0.45">
      <c r="A56" t="s">
        <v>81</v>
      </c>
      <c r="B56" t="s">
        <v>11</v>
      </c>
      <c r="C56" t="s">
        <v>12</v>
      </c>
      <c r="D56" t="s">
        <v>19</v>
      </c>
      <c r="E56" t="s">
        <v>24</v>
      </c>
      <c r="F56" t="s">
        <v>15</v>
      </c>
      <c r="G56" s="7">
        <v>44979</v>
      </c>
      <c r="H56">
        <v>101</v>
      </c>
      <c r="I56">
        <v>300.87</v>
      </c>
      <c r="J56">
        <v>340.88</v>
      </c>
      <c r="K56">
        <v>30387.87</v>
      </c>
      <c r="M56">
        <f t="shared" si="0"/>
        <v>30387.87</v>
      </c>
      <c r="N56" s="11" t="str">
        <f t="shared" si="1"/>
        <v>True</v>
      </c>
    </row>
    <row r="57" spans="1:14" x14ac:dyDescent="0.45">
      <c r="A57" t="s">
        <v>82</v>
      </c>
      <c r="B57" t="s">
        <v>17</v>
      </c>
      <c r="C57" t="s">
        <v>31</v>
      </c>
      <c r="D57" t="s">
        <v>13</v>
      </c>
      <c r="E57" t="s">
        <v>24</v>
      </c>
      <c r="F57" t="s">
        <v>20</v>
      </c>
      <c r="G57" s="7">
        <v>44980</v>
      </c>
      <c r="H57">
        <v>362</v>
      </c>
      <c r="I57">
        <v>397.51</v>
      </c>
      <c r="J57">
        <v>2.13</v>
      </c>
      <c r="K57">
        <v>143898.62</v>
      </c>
      <c r="M57">
        <f t="shared" si="0"/>
        <v>143898.62</v>
      </c>
      <c r="N57" s="11" t="str">
        <f t="shared" si="1"/>
        <v>True</v>
      </c>
    </row>
    <row r="58" spans="1:14" x14ac:dyDescent="0.45">
      <c r="A58" t="s">
        <v>83</v>
      </c>
      <c r="B58" t="s">
        <v>11</v>
      </c>
      <c r="C58" t="s">
        <v>18</v>
      </c>
      <c r="D58" t="s">
        <v>27</v>
      </c>
      <c r="E58" t="s">
        <v>24</v>
      </c>
      <c r="F58" t="s">
        <v>28</v>
      </c>
      <c r="G58" s="7">
        <v>44981</v>
      </c>
      <c r="H58">
        <v>68</v>
      </c>
      <c r="I58">
        <v>329.23</v>
      </c>
      <c r="J58">
        <v>9.0399999999999991</v>
      </c>
      <c r="K58">
        <v>22387.64</v>
      </c>
      <c r="M58">
        <f t="shared" si="0"/>
        <v>22387.64</v>
      </c>
      <c r="N58" s="11" t="str">
        <f t="shared" si="1"/>
        <v>True</v>
      </c>
    </row>
    <row r="59" spans="1:14" x14ac:dyDescent="0.45">
      <c r="A59" t="s">
        <v>84</v>
      </c>
      <c r="B59" t="s">
        <v>17</v>
      </c>
      <c r="C59" t="s">
        <v>18</v>
      </c>
      <c r="D59" t="s">
        <v>19</v>
      </c>
      <c r="E59" t="s">
        <v>24</v>
      </c>
      <c r="F59" t="s">
        <v>28</v>
      </c>
      <c r="G59" s="7">
        <v>44982</v>
      </c>
      <c r="H59">
        <v>68</v>
      </c>
      <c r="I59">
        <v>496.11</v>
      </c>
      <c r="J59">
        <v>241.82</v>
      </c>
      <c r="K59">
        <v>33735.480000000003</v>
      </c>
      <c r="M59">
        <f t="shared" si="0"/>
        <v>33735.480000000003</v>
      </c>
      <c r="N59" s="11" t="str">
        <f t="shared" si="1"/>
        <v>True</v>
      </c>
    </row>
    <row r="60" spans="1:14" x14ac:dyDescent="0.45">
      <c r="A60" t="s">
        <v>85</v>
      </c>
      <c r="B60" t="s">
        <v>17</v>
      </c>
      <c r="C60" t="s">
        <v>12</v>
      </c>
      <c r="D60" t="s">
        <v>19</v>
      </c>
      <c r="E60" t="s">
        <v>14</v>
      </c>
      <c r="F60" t="s">
        <v>15</v>
      </c>
      <c r="G60" s="7">
        <v>44983</v>
      </c>
      <c r="H60">
        <v>313</v>
      </c>
      <c r="I60">
        <v>145.51</v>
      </c>
      <c r="J60">
        <v>147.19</v>
      </c>
      <c r="K60">
        <v>45544.63</v>
      </c>
      <c r="M60">
        <f t="shared" si="0"/>
        <v>45544.63</v>
      </c>
      <c r="N60" s="11" t="str">
        <f t="shared" si="1"/>
        <v>True</v>
      </c>
    </row>
    <row r="61" spans="1:14" x14ac:dyDescent="0.45">
      <c r="A61" t="s">
        <v>86</v>
      </c>
      <c r="B61" t="s">
        <v>22</v>
      </c>
      <c r="C61" t="s">
        <v>31</v>
      </c>
      <c r="D61" t="s">
        <v>27</v>
      </c>
      <c r="E61" t="s">
        <v>14</v>
      </c>
      <c r="F61" t="s">
        <v>28</v>
      </c>
      <c r="G61" s="7">
        <v>44984</v>
      </c>
      <c r="H61">
        <v>178</v>
      </c>
      <c r="I61">
        <v>182.78</v>
      </c>
      <c r="J61">
        <v>155.81</v>
      </c>
      <c r="K61">
        <v>32534.84</v>
      </c>
      <c r="M61">
        <f t="shared" si="0"/>
        <v>32534.84</v>
      </c>
      <c r="N61" s="11" t="str">
        <f t="shared" si="1"/>
        <v>True</v>
      </c>
    </row>
    <row r="62" spans="1:14" x14ac:dyDescent="0.45">
      <c r="A62" t="s">
        <v>87</v>
      </c>
      <c r="B62" t="s">
        <v>11</v>
      </c>
      <c r="C62" t="s">
        <v>31</v>
      </c>
      <c r="D62" t="s">
        <v>27</v>
      </c>
      <c r="E62" t="s">
        <v>14</v>
      </c>
      <c r="F62" t="s">
        <v>15</v>
      </c>
      <c r="G62" s="7">
        <v>44985</v>
      </c>
      <c r="H62">
        <v>278</v>
      </c>
      <c r="I62">
        <v>195</v>
      </c>
      <c r="J62">
        <v>226.65</v>
      </c>
      <c r="K62">
        <v>54210</v>
      </c>
      <c r="M62">
        <f t="shared" si="0"/>
        <v>54210</v>
      </c>
      <c r="N62" s="11" t="str">
        <f t="shared" si="1"/>
        <v>True</v>
      </c>
    </row>
    <row r="63" spans="1:14" x14ac:dyDescent="0.45">
      <c r="A63" t="s">
        <v>88</v>
      </c>
      <c r="B63" t="s">
        <v>22</v>
      </c>
      <c r="C63" t="s">
        <v>50</v>
      </c>
      <c r="D63" t="s">
        <v>19</v>
      </c>
      <c r="E63" t="s">
        <v>14</v>
      </c>
      <c r="F63" t="s">
        <v>28</v>
      </c>
      <c r="G63" s="7">
        <v>44986</v>
      </c>
      <c r="H63">
        <v>372</v>
      </c>
      <c r="I63">
        <v>235.58</v>
      </c>
      <c r="J63">
        <v>78.33</v>
      </c>
      <c r="K63">
        <v>87635.760000000009</v>
      </c>
      <c r="M63">
        <f t="shared" si="0"/>
        <v>87635.760000000009</v>
      </c>
      <c r="N63" s="11" t="str">
        <f t="shared" si="1"/>
        <v>True</v>
      </c>
    </row>
    <row r="64" spans="1:14" x14ac:dyDescent="0.45">
      <c r="A64" t="s">
        <v>89</v>
      </c>
      <c r="B64" t="s">
        <v>11</v>
      </c>
      <c r="C64" t="s">
        <v>31</v>
      </c>
      <c r="D64" t="s">
        <v>27</v>
      </c>
      <c r="E64" t="s">
        <v>24</v>
      </c>
      <c r="F64" t="s">
        <v>28</v>
      </c>
      <c r="G64" s="7">
        <v>44987</v>
      </c>
      <c r="H64">
        <v>54</v>
      </c>
      <c r="I64">
        <v>418.82</v>
      </c>
      <c r="J64">
        <v>86.28</v>
      </c>
      <c r="K64">
        <v>22616.28</v>
      </c>
      <c r="M64">
        <f t="shared" si="0"/>
        <v>22616.28</v>
      </c>
      <c r="N64" s="11" t="str">
        <f t="shared" si="1"/>
        <v>True</v>
      </c>
    </row>
    <row r="65" spans="1:14" x14ac:dyDescent="0.45">
      <c r="A65" t="s">
        <v>90</v>
      </c>
      <c r="B65" t="s">
        <v>11</v>
      </c>
      <c r="C65" t="s">
        <v>31</v>
      </c>
      <c r="D65" t="s">
        <v>19</v>
      </c>
      <c r="E65" t="s">
        <v>24</v>
      </c>
      <c r="F65" t="s">
        <v>15</v>
      </c>
      <c r="G65" s="7">
        <v>44988</v>
      </c>
      <c r="H65">
        <v>354</v>
      </c>
      <c r="I65">
        <v>121.72</v>
      </c>
      <c r="J65">
        <v>194.87</v>
      </c>
      <c r="K65">
        <v>43088.88</v>
      </c>
      <c r="M65">
        <f t="shared" si="0"/>
        <v>43088.88</v>
      </c>
      <c r="N65" s="11" t="str">
        <f t="shared" si="1"/>
        <v>True</v>
      </c>
    </row>
    <row r="66" spans="1:14" x14ac:dyDescent="0.45">
      <c r="A66" t="s">
        <v>91</v>
      </c>
      <c r="B66" t="s">
        <v>22</v>
      </c>
      <c r="C66" t="s">
        <v>31</v>
      </c>
      <c r="D66" t="s">
        <v>19</v>
      </c>
      <c r="E66" t="s">
        <v>14</v>
      </c>
      <c r="F66" t="s">
        <v>15</v>
      </c>
      <c r="G66" s="7">
        <v>44989</v>
      </c>
      <c r="H66">
        <v>190</v>
      </c>
      <c r="I66">
        <v>389.12</v>
      </c>
      <c r="J66">
        <v>302.19</v>
      </c>
      <c r="K66">
        <v>73932.800000000003</v>
      </c>
      <c r="M66">
        <f t="shared" si="0"/>
        <v>73932.800000000003</v>
      </c>
      <c r="N66" s="11" t="str">
        <f t="shared" si="1"/>
        <v>True</v>
      </c>
    </row>
    <row r="67" spans="1:14" x14ac:dyDescent="0.45">
      <c r="A67" t="s">
        <v>92</v>
      </c>
      <c r="B67" t="s">
        <v>17</v>
      </c>
      <c r="C67" t="s">
        <v>26</v>
      </c>
      <c r="D67" t="s">
        <v>13</v>
      </c>
      <c r="E67" t="s">
        <v>14</v>
      </c>
      <c r="F67" t="s">
        <v>15</v>
      </c>
      <c r="G67" s="7">
        <v>44990</v>
      </c>
      <c r="H67">
        <v>179</v>
      </c>
      <c r="I67">
        <v>205.63</v>
      </c>
      <c r="J67">
        <v>248.56</v>
      </c>
      <c r="K67">
        <v>36807.769999999997</v>
      </c>
      <c r="M67">
        <f t="shared" si="0"/>
        <v>36807.769999999997</v>
      </c>
      <c r="N67" s="11" t="str">
        <f t="shared" si="1"/>
        <v>True</v>
      </c>
    </row>
    <row r="68" spans="1:14" x14ac:dyDescent="0.45">
      <c r="A68" t="s">
        <v>93</v>
      </c>
      <c r="B68" t="s">
        <v>11</v>
      </c>
      <c r="C68" t="s">
        <v>50</v>
      </c>
      <c r="D68" t="s">
        <v>42</v>
      </c>
      <c r="E68" t="s">
        <v>24</v>
      </c>
      <c r="F68" t="s">
        <v>28</v>
      </c>
      <c r="G68" s="7">
        <v>44991</v>
      </c>
      <c r="H68">
        <v>365</v>
      </c>
      <c r="I68">
        <v>302.92</v>
      </c>
      <c r="J68">
        <v>120.35</v>
      </c>
      <c r="K68">
        <v>110565.8</v>
      </c>
      <c r="M68">
        <f t="shared" si="0"/>
        <v>110565.8</v>
      </c>
      <c r="N68" s="11" t="str">
        <f t="shared" si="1"/>
        <v>True</v>
      </c>
    </row>
    <row r="69" spans="1:14" x14ac:dyDescent="0.45">
      <c r="A69" t="s">
        <v>94</v>
      </c>
      <c r="B69" t="s">
        <v>48</v>
      </c>
      <c r="C69" t="s">
        <v>18</v>
      </c>
      <c r="D69" t="s">
        <v>19</v>
      </c>
      <c r="E69" t="s">
        <v>14</v>
      </c>
      <c r="F69" t="s">
        <v>28</v>
      </c>
      <c r="G69" s="7">
        <v>44992</v>
      </c>
      <c r="H69">
        <v>200</v>
      </c>
      <c r="I69">
        <v>318.11</v>
      </c>
      <c r="J69">
        <v>173.27</v>
      </c>
      <c r="K69">
        <v>63622</v>
      </c>
      <c r="M69">
        <f t="shared" ref="M69:M132" si="2">$H69*$I69</f>
        <v>63622</v>
      </c>
      <c r="N69" s="11" t="str">
        <f t="shared" ref="N69:N132" si="3">IF(K69=M69,"True","False")</f>
        <v>True</v>
      </c>
    </row>
    <row r="70" spans="1:14" x14ac:dyDescent="0.45">
      <c r="A70" t="s">
        <v>95</v>
      </c>
      <c r="B70" t="s">
        <v>17</v>
      </c>
      <c r="C70" t="s">
        <v>12</v>
      </c>
      <c r="D70" t="s">
        <v>23</v>
      </c>
      <c r="E70" t="s">
        <v>24</v>
      </c>
      <c r="F70" t="s">
        <v>20</v>
      </c>
      <c r="G70" s="7">
        <v>44993</v>
      </c>
      <c r="H70">
        <v>164</v>
      </c>
      <c r="I70">
        <v>189.56</v>
      </c>
      <c r="J70">
        <v>69.92</v>
      </c>
      <c r="K70">
        <v>31087.84</v>
      </c>
      <c r="M70">
        <f t="shared" si="2"/>
        <v>31087.84</v>
      </c>
      <c r="N70" s="11" t="str">
        <f t="shared" si="3"/>
        <v>True</v>
      </c>
    </row>
    <row r="71" spans="1:14" x14ac:dyDescent="0.45">
      <c r="A71" t="s">
        <v>96</v>
      </c>
      <c r="B71" t="s">
        <v>22</v>
      </c>
      <c r="C71" t="s">
        <v>18</v>
      </c>
      <c r="D71" t="s">
        <v>42</v>
      </c>
      <c r="E71" t="s">
        <v>14</v>
      </c>
      <c r="F71" t="s">
        <v>15</v>
      </c>
      <c r="G71" s="7">
        <v>44994</v>
      </c>
      <c r="H71">
        <v>431</v>
      </c>
      <c r="I71">
        <v>258.74</v>
      </c>
      <c r="J71">
        <v>31.7</v>
      </c>
      <c r="K71">
        <v>111516.94</v>
      </c>
      <c r="M71">
        <f t="shared" si="2"/>
        <v>111516.94</v>
      </c>
      <c r="N71" s="11" t="str">
        <f t="shared" si="3"/>
        <v>True</v>
      </c>
    </row>
    <row r="72" spans="1:14" x14ac:dyDescent="0.45">
      <c r="A72" t="s">
        <v>97</v>
      </c>
      <c r="B72" t="s">
        <v>17</v>
      </c>
      <c r="C72" t="s">
        <v>50</v>
      </c>
      <c r="D72" t="s">
        <v>42</v>
      </c>
      <c r="E72" t="s">
        <v>14</v>
      </c>
      <c r="F72" t="s">
        <v>28</v>
      </c>
      <c r="G72" s="7">
        <v>44995</v>
      </c>
      <c r="H72">
        <v>197</v>
      </c>
      <c r="I72">
        <v>209.45</v>
      </c>
      <c r="J72">
        <v>313.51</v>
      </c>
      <c r="K72">
        <v>41261.649999999987</v>
      </c>
      <c r="M72">
        <f t="shared" si="2"/>
        <v>41261.649999999994</v>
      </c>
      <c r="N72" s="11" t="str">
        <f t="shared" si="3"/>
        <v>True</v>
      </c>
    </row>
    <row r="73" spans="1:14" x14ac:dyDescent="0.45">
      <c r="A73" t="s">
        <v>98</v>
      </c>
      <c r="B73" t="s">
        <v>48</v>
      </c>
      <c r="C73" t="s">
        <v>12</v>
      </c>
      <c r="D73" t="s">
        <v>42</v>
      </c>
      <c r="E73" t="s">
        <v>14</v>
      </c>
      <c r="F73" t="s">
        <v>28</v>
      </c>
      <c r="G73" s="7">
        <v>44996</v>
      </c>
      <c r="H73">
        <v>16</v>
      </c>
      <c r="I73">
        <v>39.22</v>
      </c>
      <c r="J73">
        <v>107.62</v>
      </c>
      <c r="K73">
        <v>627.52</v>
      </c>
      <c r="M73">
        <f t="shared" si="2"/>
        <v>627.52</v>
      </c>
      <c r="N73" s="11" t="str">
        <f t="shared" si="3"/>
        <v>True</v>
      </c>
    </row>
    <row r="74" spans="1:14" x14ac:dyDescent="0.45">
      <c r="A74" t="s">
        <v>99</v>
      </c>
      <c r="B74" t="s">
        <v>48</v>
      </c>
      <c r="C74" t="s">
        <v>50</v>
      </c>
      <c r="D74" t="s">
        <v>13</v>
      </c>
      <c r="E74" t="s">
        <v>14</v>
      </c>
      <c r="F74" t="s">
        <v>15</v>
      </c>
      <c r="G74" s="7">
        <v>44997</v>
      </c>
      <c r="H74">
        <v>142</v>
      </c>
      <c r="I74">
        <v>221.4</v>
      </c>
      <c r="J74">
        <v>72.75</v>
      </c>
      <c r="K74">
        <v>31438.799999999999</v>
      </c>
      <c r="M74">
        <f t="shared" si="2"/>
        <v>31438.799999999999</v>
      </c>
      <c r="N74" s="11" t="str">
        <f t="shared" si="3"/>
        <v>True</v>
      </c>
    </row>
    <row r="75" spans="1:14" x14ac:dyDescent="0.45">
      <c r="A75" t="s">
        <v>100</v>
      </c>
      <c r="B75" t="s">
        <v>48</v>
      </c>
      <c r="C75" t="s">
        <v>31</v>
      </c>
      <c r="D75" t="s">
        <v>19</v>
      </c>
      <c r="E75" t="s">
        <v>14</v>
      </c>
      <c r="F75" t="s">
        <v>20</v>
      </c>
      <c r="G75" s="7">
        <v>44998</v>
      </c>
      <c r="H75">
        <v>244</v>
      </c>
      <c r="I75">
        <v>53.21</v>
      </c>
      <c r="J75">
        <v>277.26</v>
      </c>
      <c r="K75">
        <v>12983.24</v>
      </c>
      <c r="M75">
        <f t="shared" si="2"/>
        <v>12983.24</v>
      </c>
      <c r="N75" s="11" t="str">
        <f t="shared" si="3"/>
        <v>True</v>
      </c>
    </row>
    <row r="76" spans="1:14" x14ac:dyDescent="0.45">
      <c r="A76" t="s">
        <v>101</v>
      </c>
      <c r="B76" t="s">
        <v>22</v>
      </c>
      <c r="C76" t="s">
        <v>12</v>
      </c>
      <c r="D76" t="s">
        <v>13</v>
      </c>
      <c r="E76" t="s">
        <v>14</v>
      </c>
      <c r="F76" t="s">
        <v>15</v>
      </c>
      <c r="G76" s="7">
        <v>44999</v>
      </c>
      <c r="H76">
        <v>54</v>
      </c>
      <c r="I76">
        <v>205.49</v>
      </c>
      <c r="J76">
        <v>247.98</v>
      </c>
      <c r="K76">
        <v>11096.46</v>
      </c>
      <c r="M76">
        <f t="shared" si="2"/>
        <v>11096.460000000001</v>
      </c>
      <c r="N76" s="11" t="str">
        <f t="shared" si="3"/>
        <v>True</v>
      </c>
    </row>
    <row r="77" spans="1:14" x14ac:dyDescent="0.45">
      <c r="A77" t="s">
        <v>102</v>
      </c>
      <c r="B77" t="s">
        <v>48</v>
      </c>
      <c r="C77" t="s">
        <v>31</v>
      </c>
      <c r="D77" t="s">
        <v>19</v>
      </c>
      <c r="E77" t="s">
        <v>14</v>
      </c>
      <c r="F77" t="s">
        <v>20</v>
      </c>
      <c r="G77" s="7">
        <v>45000</v>
      </c>
      <c r="H77">
        <v>323</v>
      </c>
      <c r="I77">
        <v>298.49</v>
      </c>
      <c r="J77">
        <v>254.01</v>
      </c>
      <c r="K77">
        <v>96412.27</v>
      </c>
      <c r="M77">
        <f t="shared" si="2"/>
        <v>96412.27</v>
      </c>
      <c r="N77" s="11" t="str">
        <f t="shared" si="3"/>
        <v>True</v>
      </c>
    </row>
    <row r="78" spans="1:14" x14ac:dyDescent="0.45">
      <c r="A78" t="s">
        <v>103</v>
      </c>
      <c r="B78" t="s">
        <v>22</v>
      </c>
      <c r="C78" t="s">
        <v>18</v>
      </c>
      <c r="D78" t="s">
        <v>13</v>
      </c>
      <c r="E78" t="s">
        <v>24</v>
      </c>
      <c r="F78" t="s">
        <v>28</v>
      </c>
      <c r="G78" s="7">
        <v>45001</v>
      </c>
      <c r="H78">
        <v>258</v>
      </c>
      <c r="I78">
        <v>291.81</v>
      </c>
      <c r="J78">
        <v>93.1</v>
      </c>
      <c r="K78">
        <v>75286.98</v>
      </c>
      <c r="M78">
        <f t="shared" si="2"/>
        <v>75286.98</v>
      </c>
      <c r="N78" s="11" t="str">
        <f t="shared" si="3"/>
        <v>True</v>
      </c>
    </row>
    <row r="79" spans="1:14" x14ac:dyDescent="0.45">
      <c r="A79" t="s">
        <v>104</v>
      </c>
      <c r="B79" t="s">
        <v>48</v>
      </c>
      <c r="C79" t="s">
        <v>18</v>
      </c>
      <c r="D79" t="s">
        <v>13</v>
      </c>
      <c r="E79" t="s">
        <v>24</v>
      </c>
      <c r="F79" t="s">
        <v>20</v>
      </c>
      <c r="G79" s="7">
        <v>45002</v>
      </c>
      <c r="H79">
        <v>40</v>
      </c>
      <c r="I79">
        <v>333</v>
      </c>
      <c r="J79">
        <v>94.59</v>
      </c>
      <c r="K79">
        <v>13320</v>
      </c>
      <c r="M79">
        <f t="shared" si="2"/>
        <v>13320</v>
      </c>
      <c r="N79" s="11" t="str">
        <f t="shared" si="3"/>
        <v>True</v>
      </c>
    </row>
    <row r="80" spans="1:14" x14ac:dyDescent="0.45">
      <c r="A80" t="s">
        <v>105</v>
      </c>
      <c r="B80" t="s">
        <v>17</v>
      </c>
      <c r="C80" t="s">
        <v>12</v>
      </c>
      <c r="D80" t="s">
        <v>23</v>
      </c>
      <c r="E80" t="s">
        <v>24</v>
      </c>
      <c r="F80" t="s">
        <v>28</v>
      </c>
      <c r="G80" s="7">
        <v>45003</v>
      </c>
      <c r="H80">
        <v>32</v>
      </c>
      <c r="I80">
        <v>52.15</v>
      </c>
      <c r="J80">
        <v>89.88</v>
      </c>
      <c r="K80">
        <v>1668.8</v>
      </c>
      <c r="M80">
        <f t="shared" si="2"/>
        <v>1668.8</v>
      </c>
      <c r="N80" s="11" t="str">
        <f t="shared" si="3"/>
        <v>True</v>
      </c>
    </row>
    <row r="81" spans="1:14" x14ac:dyDescent="0.45">
      <c r="A81" t="s">
        <v>106</v>
      </c>
      <c r="B81" t="s">
        <v>17</v>
      </c>
      <c r="C81" t="s">
        <v>12</v>
      </c>
      <c r="D81" t="s">
        <v>13</v>
      </c>
      <c r="E81" t="s">
        <v>24</v>
      </c>
      <c r="F81" t="s">
        <v>15</v>
      </c>
      <c r="G81" s="7">
        <v>45004</v>
      </c>
      <c r="H81">
        <v>435</v>
      </c>
      <c r="I81">
        <v>327.8</v>
      </c>
      <c r="J81">
        <v>71.150000000000006</v>
      </c>
      <c r="K81">
        <v>142593</v>
      </c>
      <c r="M81">
        <f t="shared" si="2"/>
        <v>142593</v>
      </c>
      <c r="N81" s="11" t="str">
        <f t="shared" si="3"/>
        <v>True</v>
      </c>
    </row>
    <row r="82" spans="1:14" x14ac:dyDescent="0.45">
      <c r="A82" t="s">
        <v>107</v>
      </c>
      <c r="B82" t="s">
        <v>11</v>
      </c>
      <c r="C82" t="s">
        <v>50</v>
      </c>
      <c r="D82" t="s">
        <v>27</v>
      </c>
      <c r="E82" t="s">
        <v>24</v>
      </c>
      <c r="F82" t="s">
        <v>15</v>
      </c>
      <c r="G82" s="7">
        <v>45005</v>
      </c>
      <c r="H82">
        <v>403</v>
      </c>
      <c r="I82">
        <v>159.51</v>
      </c>
      <c r="J82">
        <v>262.98</v>
      </c>
      <c r="K82">
        <v>64282.53</v>
      </c>
      <c r="M82">
        <f t="shared" si="2"/>
        <v>64282.53</v>
      </c>
      <c r="N82" s="11" t="str">
        <f t="shared" si="3"/>
        <v>True</v>
      </c>
    </row>
    <row r="83" spans="1:14" x14ac:dyDescent="0.45">
      <c r="A83" t="s">
        <v>108</v>
      </c>
      <c r="B83" t="s">
        <v>17</v>
      </c>
      <c r="C83" t="s">
        <v>50</v>
      </c>
      <c r="D83" t="s">
        <v>23</v>
      </c>
      <c r="E83" t="s">
        <v>14</v>
      </c>
      <c r="F83" t="s">
        <v>15</v>
      </c>
      <c r="G83" s="7">
        <v>45006</v>
      </c>
      <c r="H83">
        <v>169</v>
      </c>
      <c r="I83">
        <v>255.39500000000001</v>
      </c>
      <c r="J83">
        <v>339.51</v>
      </c>
      <c r="K83">
        <v>43161.754999999997</v>
      </c>
      <c r="M83">
        <f t="shared" si="2"/>
        <v>43161.755000000005</v>
      </c>
      <c r="N83" s="11" t="str">
        <f t="shared" si="3"/>
        <v>True</v>
      </c>
    </row>
    <row r="84" spans="1:14" x14ac:dyDescent="0.45">
      <c r="A84" t="s">
        <v>109</v>
      </c>
      <c r="B84" t="s">
        <v>11</v>
      </c>
      <c r="C84" t="s">
        <v>31</v>
      </c>
      <c r="D84" t="s">
        <v>13</v>
      </c>
      <c r="E84" t="s">
        <v>14</v>
      </c>
      <c r="F84" t="s">
        <v>20</v>
      </c>
      <c r="G84" s="7">
        <v>45007</v>
      </c>
      <c r="H84">
        <v>372</v>
      </c>
      <c r="I84">
        <v>429.7</v>
      </c>
      <c r="J84">
        <v>290.27999999999997</v>
      </c>
      <c r="K84">
        <v>159848.4</v>
      </c>
      <c r="M84">
        <f t="shared" si="2"/>
        <v>159848.4</v>
      </c>
      <c r="N84" s="11" t="str">
        <f t="shared" si="3"/>
        <v>True</v>
      </c>
    </row>
    <row r="85" spans="1:14" x14ac:dyDescent="0.45">
      <c r="A85" t="s">
        <v>110</v>
      </c>
      <c r="B85" t="s">
        <v>17</v>
      </c>
      <c r="C85" t="s">
        <v>12</v>
      </c>
      <c r="D85" t="s">
        <v>42</v>
      </c>
      <c r="E85" t="s">
        <v>24</v>
      </c>
      <c r="F85" t="s">
        <v>28</v>
      </c>
      <c r="G85" s="7">
        <v>45008</v>
      </c>
      <c r="H85">
        <v>446</v>
      </c>
      <c r="I85">
        <v>9.4700000000000006</v>
      </c>
      <c r="J85">
        <v>317.25</v>
      </c>
      <c r="K85">
        <v>4223.62</v>
      </c>
      <c r="M85">
        <f t="shared" si="2"/>
        <v>4223.62</v>
      </c>
      <c r="N85" s="11" t="str">
        <f t="shared" si="3"/>
        <v>True</v>
      </c>
    </row>
    <row r="86" spans="1:14" x14ac:dyDescent="0.45">
      <c r="A86" t="s">
        <v>111</v>
      </c>
      <c r="B86" t="s">
        <v>22</v>
      </c>
      <c r="C86" t="s">
        <v>18</v>
      </c>
      <c r="D86" t="s">
        <v>27</v>
      </c>
      <c r="E86" t="s">
        <v>14</v>
      </c>
      <c r="F86" t="s">
        <v>15</v>
      </c>
      <c r="G86" s="7">
        <v>45009</v>
      </c>
      <c r="H86">
        <v>167</v>
      </c>
      <c r="I86">
        <v>296.26</v>
      </c>
      <c r="J86">
        <v>163.11000000000001</v>
      </c>
      <c r="K86">
        <v>49475.42</v>
      </c>
      <c r="M86">
        <f t="shared" si="2"/>
        <v>49475.42</v>
      </c>
      <c r="N86" s="11" t="str">
        <f t="shared" si="3"/>
        <v>True</v>
      </c>
    </row>
    <row r="87" spans="1:14" x14ac:dyDescent="0.45">
      <c r="A87" t="s">
        <v>112</v>
      </c>
      <c r="B87" t="s">
        <v>17</v>
      </c>
      <c r="C87" t="s">
        <v>50</v>
      </c>
      <c r="D87" t="s">
        <v>27</v>
      </c>
      <c r="E87" t="s">
        <v>24</v>
      </c>
      <c r="F87" t="s">
        <v>15</v>
      </c>
      <c r="G87" s="7">
        <v>45010</v>
      </c>
      <c r="H87">
        <v>48</v>
      </c>
      <c r="I87">
        <v>301.36</v>
      </c>
      <c r="J87">
        <v>262.32</v>
      </c>
      <c r="K87">
        <v>14465.28</v>
      </c>
      <c r="M87">
        <f t="shared" si="2"/>
        <v>14465.28</v>
      </c>
      <c r="N87" s="11" t="str">
        <f t="shared" si="3"/>
        <v>True</v>
      </c>
    </row>
    <row r="88" spans="1:14" x14ac:dyDescent="0.45">
      <c r="A88" t="s">
        <v>113</v>
      </c>
      <c r="B88" t="s">
        <v>11</v>
      </c>
      <c r="C88" t="s">
        <v>50</v>
      </c>
      <c r="D88" t="s">
        <v>27</v>
      </c>
      <c r="E88" t="s">
        <v>24</v>
      </c>
      <c r="F88" t="s">
        <v>28</v>
      </c>
      <c r="G88" s="7">
        <v>45011</v>
      </c>
      <c r="H88">
        <v>424</v>
      </c>
      <c r="I88">
        <v>201.35</v>
      </c>
      <c r="J88">
        <v>142.99</v>
      </c>
      <c r="K88">
        <v>85372.4</v>
      </c>
      <c r="M88">
        <f t="shared" si="2"/>
        <v>85372.4</v>
      </c>
      <c r="N88" s="11" t="str">
        <f t="shared" si="3"/>
        <v>True</v>
      </c>
    </row>
    <row r="89" spans="1:14" x14ac:dyDescent="0.45">
      <c r="A89" t="s">
        <v>114</v>
      </c>
      <c r="B89" t="s">
        <v>11</v>
      </c>
      <c r="C89" t="s">
        <v>18</v>
      </c>
      <c r="D89" t="s">
        <v>23</v>
      </c>
      <c r="E89" t="s">
        <v>14</v>
      </c>
      <c r="F89" t="s">
        <v>15</v>
      </c>
      <c r="G89" s="7">
        <v>45012</v>
      </c>
      <c r="H89">
        <v>91</v>
      </c>
      <c r="I89">
        <v>122.33</v>
      </c>
      <c r="J89">
        <v>211.15</v>
      </c>
      <c r="K89">
        <v>11132.03</v>
      </c>
      <c r="M89">
        <f t="shared" si="2"/>
        <v>11132.03</v>
      </c>
      <c r="N89" s="11" t="str">
        <f t="shared" si="3"/>
        <v>True</v>
      </c>
    </row>
    <row r="90" spans="1:14" x14ac:dyDescent="0.45">
      <c r="A90" t="s">
        <v>115</v>
      </c>
      <c r="B90" t="s">
        <v>48</v>
      </c>
      <c r="C90" t="s">
        <v>50</v>
      </c>
      <c r="D90" t="s">
        <v>13</v>
      </c>
      <c r="E90" t="s">
        <v>14</v>
      </c>
      <c r="F90" t="s">
        <v>28</v>
      </c>
      <c r="G90" s="7">
        <v>45013</v>
      </c>
      <c r="H90">
        <v>365</v>
      </c>
      <c r="I90">
        <v>121.16</v>
      </c>
      <c r="J90">
        <v>193.69</v>
      </c>
      <c r="K90">
        <v>44223.4</v>
      </c>
      <c r="M90">
        <f t="shared" si="2"/>
        <v>44223.4</v>
      </c>
      <c r="N90" s="11" t="str">
        <f t="shared" si="3"/>
        <v>True</v>
      </c>
    </row>
    <row r="91" spans="1:14" x14ac:dyDescent="0.45">
      <c r="A91" t="s">
        <v>116</v>
      </c>
      <c r="B91" t="s">
        <v>22</v>
      </c>
      <c r="C91" t="s">
        <v>31</v>
      </c>
      <c r="D91" t="s">
        <v>13</v>
      </c>
      <c r="E91" t="s">
        <v>14</v>
      </c>
      <c r="F91" t="s">
        <v>28</v>
      </c>
      <c r="G91" s="7">
        <v>45014</v>
      </c>
      <c r="H91">
        <v>267</v>
      </c>
      <c r="I91">
        <v>442.44</v>
      </c>
      <c r="J91">
        <v>72.400000000000006</v>
      </c>
      <c r="K91">
        <v>118131.48</v>
      </c>
      <c r="M91">
        <f t="shared" si="2"/>
        <v>118131.48</v>
      </c>
      <c r="N91" s="11" t="str">
        <f t="shared" si="3"/>
        <v>True</v>
      </c>
    </row>
    <row r="92" spans="1:14" x14ac:dyDescent="0.45">
      <c r="A92" t="s">
        <v>117</v>
      </c>
      <c r="B92" t="s">
        <v>17</v>
      </c>
      <c r="C92" t="s">
        <v>12</v>
      </c>
      <c r="D92" t="s">
        <v>42</v>
      </c>
      <c r="E92" t="s">
        <v>24</v>
      </c>
      <c r="F92" t="s">
        <v>28</v>
      </c>
      <c r="G92" s="7">
        <v>45015</v>
      </c>
      <c r="H92">
        <v>215</v>
      </c>
      <c r="I92">
        <v>223.8</v>
      </c>
      <c r="J92">
        <v>156.06</v>
      </c>
      <c r="K92">
        <v>48117</v>
      </c>
      <c r="M92">
        <f t="shared" si="2"/>
        <v>48117</v>
      </c>
      <c r="N92" s="11" t="str">
        <f t="shared" si="3"/>
        <v>True</v>
      </c>
    </row>
    <row r="93" spans="1:14" x14ac:dyDescent="0.45">
      <c r="A93" t="s">
        <v>118</v>
      </c>
      <c r="B93" t="s">
        <v>48</v>
      </c>
      <c r="C93" t="s">
        <v>18</v>
      </c>
      <c r="D93" t="s">
        <v>42</v>
      </c>
      <c r="E93" t="s">
        <v>14</v>
      </c>
      <c r="F93" t="s">
        <v>28</v>
      </c>
      <c r="G93" s="7">
        <v>45016</v>
      </c>
      <c r="H93">
        <v>86</v>
      </c>
      <c r="I93">
        <v>168.79</v>
      </c>
      <c r="J93">
        <v>385.6</v>
      </c>
      <c r="K93">
        <v>14515.94</v>
      </c>
      <c r="M93">
        <f t="shared" si="2"/>
        <v>14515.939999999999</v>
      </c>
      <c r="N93" s="11" t="str">
        <f t="shared" si="3"/>
        <v>True</v>
      </c>
    </row>
    <row r="94" spans="1:14" x14ac:dyDescent="0.45">
      <c r="A94" t="s">
        <v>119</v>
      </c>
      <c r="B94" t="s">
        <v>17</v>
      </c>
      <c r="C94" t="s">
        <v>12</v>
      </c>
      <c r="D94" t="s">
        <v>27</v>
      </c>
      <c r="E94" t="s">
        <v>24</v>
      </c>
      <c r="F94" t="s">
        <v>28</v>
      </c>
      <c r="G94" s="7">
        <v>45017</v>
      </c>
      <c r="H94">
        <v>486</v>
      </c>
      <c r="I94">
        <v>227.14</v>
      </c>
      <c r="J94">
        <v>100.93</v>
      </c>
      <c r="K94">
        <v>110390.04</v>
      </c>
      <c r="M94">
        <f t="shared" si="2"/>
        <v>110390.04</v>
      </c>
      <c r="N94" s="11" t="str">
        <f t="shared" si="3"/>
        <v>True</v>
      </c>
    </row>
    <row r="95" spans="1:14" x14ac:dyDescent="0.45">
      <c r="A95" t="s">
        <v>120</v>
      </c>
      <c r="B95" t="s">
        <v>17</v>
      </c>
      <c r="C95" t="s">
        <v>50</v>
      </c>
      <c r="D95" t="s">
        <v>42</v>
      </c>
      <c r="E95" t="s">
        <v>24</v>
      </c>
      <c r="F95" t="s">
        <v>20</v>
      </c>
      <c r="G95" s="7">
        <v>45018</v>
      </c>
      <c r="H95">
        <v>21</v>
      </c>
      <c r="I95">
        <v>255.39500000000001</v>
      </c>
      <c r="J95">
        <v>55.25</v>
      </c>
      <c r="K95">
        <v>5363.2950000000001</v>
      </c>
      <c r="M95">
        <f t="shared" si="2"/>
        <v>5363.2950000000001</v>
      </c>
      <c r="N95" s="11" t="str">
        <f t="shared" si="3"/>
        <v>True</v>
      </c>
    </row>
    <row r="96" spans="1:14" x14ac:dyDescent="0.45">
      <c r="A96" t="s">
        <v>121</v>
      </c>
      <c r="B96" t="s">
        <v>48</v>
      </c>
      <c r="C96" t="s">
        <v>50</v>
      </c>
      <c r="D96" t="s">
        <v>23</v>
      </c>
      <c r="E96" t="s">
        <v>24</v>
      </c>
      <c r="F96" t="s">
        <v>15</v>
      </c>
      <c r="G96" s="7">
        <v>45019</v>
      </c>
      <c r="H96">
        <v>304</v>
      </c>
      <c r="I96">
        <v>77.150000000000006</v>
      </c>
      <c r="J96">
        <v>168.6</v>
      </c>
      <c r="K96">
        <v>23453.599999999999</v>
      </c>
      <c r="M96">
        <f t="shared" si="2"/>
        <v>23453.600000000002</v>
      </c>
      <c r="N96" s="11" t="str">
        <f t="shared" si="3"/>
        <v>True</v>
      </c>
    </row>
    <row r="97" spans="1:14" x14ac:dyDescent="0.45">
      <c r="A97" t="s">
        <v>122</v>
      </c>
      <c r="B97" t="s">
        <v>48</v>
      </c>
      <c r="C97" t="s">
        <v>18</v>
      </c>
      <c r="D97" t="s">
        <v>13</v>
      </c>
      <c r="E97" t="s">
        <v>14</v>
      </c>
      <c r="F97" t="s">
        <v>20</v>
      </c>
      <c r="G97" s="7">
        <v>45020</v>
      </c>
      <c r="H97">
        <v>459</v>
      </c>
      <c r="I97">
        <v>227.47</v>
      </c>
      <c r="J97">
        <v>316.55</v>
      </c>
      <c r="K97">
        <v>104408.73</v>
      </c>
      <c r="M97">
        <f t="shared" si="2"/>
        <v>104408.73</v>
      </c>
      <c r="N97" s="11" t="str">
        <f t="shared" si="3"/>
        <v>True</v>
      </c>
    </row>
    <row r="98" spans="1:14" x14ac:dyDescent="0.45">
      <c r="A98" t="s">
        <v>123</v>
      </c>
      <c r="B98" t="s">
        <v>48</v>
      </c>
      <c r="C98" t="s">
        <v>31</v>
      </c>
      <c r="D98" t="s">
        <v>27</v>
      </c>
      <c r="E98" t="s">
        <v>14</v>
      </c>
      <c r="F98" t="s">
        <v>15</v>
      </c>
      <c r="G98" s="7">
        <v>45021</v>
      </c>
      <c r="H98">
        <v>233</v>
      </c>
      <c r="I98">
        <v>296</v>
      </c>
      <c r="J98">
        <v>233.69</v>
      </c>
      <c r="K98">
        <v>68968</v>
      </c>
      <c r="M98">
        <f t="shared" si="2"/>
        <v>68968</v>
      </c>
      <c r="N98" s="11" t="str">
        <f t="shared" si="3"/>
        <v>True</v>
      </c>
    </row>
    <row r="99" spans="1:14" x14ac:dyDescent="0.45">
      <c r="A99" t="s">
        <v>124</v>
      </c>
      <c r="B99" t="s">
        <v>48</v>
      </c>
      <c r="C99" t="s">
        <v>26</v>
      </c>
      <c r="D99" t="s">
        <v>42</v>
      </c>
      <c r="E99" t="s">
        <v>24</v>
      </c>
      <c r="F99" t="s">
        <v>20</v>
      </c>
      <c r="G99" s="7">
        <v>45022</v>
      </c>
      <c r="H99">
        <v>22</v>
      </c>
      <c r="I99">
        <v>474.55</v>
      </c>
      <c r="J99">
        <v>273.02999999999997</v>
      </c>
      <c r="K99">
        <v>10440.1</v>
      </c>
      <c r="M99">
        <f t="shared" si="2"/>
        <v>10440.1</v>
      </c>
      <c r="N99" s="11" t="str">
        <f t="shared" si="3"/>
        <v>True</v>
      </c>
    </row>
    <row r="100" spans="1:14" x14ac:dyDescent="0.45">
      <c r="A100" t="s">
        <v>125</v>
      </c>
      <c r="B100" t="s">
        <v>48</v>
      </c>
      <c r="C100" t="s">
        <v>18</v>
      </c>
      <c r="D100" t="s">
        <v>23</v>
      </c>
      <c r="E100" t="s">
        <v>14</v>
      </c>
      <c r="F100" t="s">
        <v>28</v>
      </c>
      <c r="G100" s="7">
        <v>45023</v>
      </c>
      <c r="H100">
        <v>55</v>
      </c>
      <c r="I100">
        <v>130</v>
      </c>
      <c r="J100">
        <v>77.5</v>
      </c>
      <c r="K100">
        <v>7150</v>
      </c>
      <c r="M100">
        <f t="shared" si="2"/>
        <v>7150</v>
      </c>
      <c r="N100" s="11" t="str">
        <f t="shared" si="3"/>
        <v>True</v>
      </c>
    </row>
    <row r="101" spans="1:14" x14ac:dyDescent="0.45">
      <c r="A101" t="s">
        <v>126</v>
      </c>
      <c r="B101" t="s">
        <v>17</v>
      </c>
      <c r="C101" t="s">
        <v>26</v>
      </c>
      <c r="D101" t="s">
        <v>23</v>
      </c>
      <c r="E101" t="s">
        <v>14</v>
      </c>
      <c r="F101" t="s">
        <v>15</v>
      </c>
      <c r="G101" s="7">
        <v>45024</v>
      </c>
      <c r="H101">
        <v>164</v>
      </c>
      <c r="I101">
        <v>182.83</v>
      </c>
      <c r="J101">
        <v>248.34</v>
      </c>
      <c r="K101">
        <v>29984.12</v>
      </c>
      <c r="M101">
        <f t="shared" si="2"/>
        <v>29984.120000000003</v>
      </c>
      <c r="N101" s="11" t="str">
        <f t="shared" si="3"/>
        <v>True</v>
      </c>
    </row>
    <row r="102" spans="1:14" x14ac:dyDescent="0.45">
      <c r="A102" t="s">
        <v>127</v>
      </c>
      <c r="B102" t="s">
        <v>48</v>
      </c>
      <c r="C102" t="s">
        <v>26</v>
      </c>
      <c r="D102" t="s">
        <v>42</v>
      </c>
      <c r="E102" t="s">
        <v>14</v>
      </c>
      <c r="F102" t="s">
        <v>15</v>
      </c>
      <c r="G102" s="7">
        <v>45025</v>
      </c>
      <c r="H102">
        <v>122</v>
      </c>
      <c r="I102">
        <v>192.78</v>
      </c>
      <c r="J102">
        <v>130.75</v>
      </c>
      <c r="K102">
        <v>23519.16</v>
      </c>
      <c r="M102">
        <f t="shared" si="2"/>
        <v>23519.16</v>
      </c>
      <c r="N102" s="11" t="str">
        <f t="shared" si="3"/>
        <v>True</v>
      </c>
    </row>
    <row r="103" spans="1:14" x14ac:dyDescent="0.45">
      <c r="A103" t="s">
        <v>128</v>
      </c>
      <c r="B103" t="s">
        <v>22</v>
      </c>
      <c r="C103" t="s">
        <v>31</v>
      </c>
      <c r="D103" t="s">
        <v>13</v>
      </c>
      <c r="E103" t="s">
        <v>24</v>
      </c>
      <c r="F103" t="s">
        <v>20</v>
      </c>
      <c r="G103" s="7">
        <v>45026</v>
      </c>
      <c r="H103">
        <v>242</v>
      </c>
      <c r="I103">
        <v>304.74</v>
      </c>
      <c r="J103">
        <v>334.05</v>
      </c>
      <c r="K103">
        <v>73747.08</v>
      </c>
      <c r="M103">
        <f t="shared" si="2"/>
        <v>73747.08</v>
      </c>
      <c r="N103" s="11" t="str">
        <f t="shared" si="3"/>
        <v>True</v>
      </c>
    </row>
    <row r="104" spans="1:14" x14ac:dyDescent="0.45">
      <c r="A104" t="s">
        <v>129</v>
      </c>
      <c r="B104" t="s">
        <v>11</v>
      </c>
      <c r="C104" t="s">
        <v>26</v>
      </c>
      <c r="D104" t="s">
        <v>42</v>
      </c>
      <c r="E104" t="s">
        <v>24</v>
      </c>
      <c r="F104" t="s">
        <v>20</v>
      </c>
      <c r="G104" s="7">
        <v>45027</v>
      </c>
      <c r="H104">
        <v>26</v>
      </c>
      <c r="I104">
        <v>181.58</v>
      </c>
      <c r="J104">
        <v>252.46</v>
      </c>
      <c r="K104">
        <v>4721.08</v>
      </c>
      <c r="M104">
        <f t="shared" si="2"/>
        <v>4721.08</v>
      </c>
      <c r="N104" s="11" t="str">
        <f t="shared" si="3"/>
        <v>True</v>
      </c>
    </row>
    <row r="105" spans="1:14" x14ac:dyDescent="0.45">
      <c r="A105" t="s">
        <v>130</v>
      </c>
      <c r="B105" t="s">
        <v>48</v>
      </c>
      <c r="C105" t="s">
        <v>26</v>
      </c>
      <c r="D105" t="s">
        <v>27</v>
      </c>
      <c r="E105" t="s">
        <v>14</v>
      </c>
      <c r="F105" t="s">
        <v>15</v>
      </c>
      <c r="G105" s="7">
        <v>45028</v>
      </c>
      <c r="H105">
        <v>369</v>
      </c>
      <c r="I105">
        <v>269.08999999999997</v>
      </c>
      <c r="J105">
        <v>81.14</v>
      </c>
      <c r="K105">
        <v>99294.209999999992</v>
      </c>
      <c r="M105">
        <f t="shared" si="2"/>
        <v>99294.209999999992</v>
      </c>
      <c r="N105" s="11" t="str">
        <f t="shared" si="3"/>
        <v>True</v>
      </c>
    </row>
    <row r="106" spans="1:14" x14ac:dyDescent="0.45">
      <c r="A106" t="s">
        <v>131</v>
      </c>
      <c r="B106" t="s">
        <v>48</v>
      </c>
      <c r="C106" t="s">
        <v>31</v>
      </c>
      <c r="D106" t="s">
        <v>42</v>
      </c>
      <c r="E106" t="s">
        <v>24</v>
      </c>
      <c r="F106" t="s">
        <v>20</v>
      </c>
      <c r="G106" s="7">
        <v>45029</v>
      </c>
      <c r="H106">
        <v>232</v>
      </c>
      <c r="I106">
        <v>391.99</v>
      </c>
      <c r="J106">
        <v>27.72</v>
      </c>
      <c r="K106">
        <v>90941.680000000008</v>
      </c>
      <c r="M106">
        <f t="shared" si="2"/>
        <v>90941.680000000008</v>
      </c>
      <c r="N106" s="11" t="str">
        <f t="shared" si="3"/>
        <v>True</v>
      </c>
    </row>
    <row r="107" spans="1:14" x14ac:dyDescent="0.45">
      <c r="A107" t="s">
        <v>132</v>
      </c>
      <c r="B107" t="s">
        <v>17</v>
      </c>
      <c r="C107" t="s">
        <v>26</v>
      </c>
      <c r="D107" t="s">
        <v>23</v>
      </c>
      <c r="E107" t="s">
        <v>14</v>
      </c>
      <c r="F107" t="s">
        <v>20</v>
      </c>
      <c r="G107" s="7">
        <v>45030</v>
      </c>
      <c r="H107">
        <v>363</v>
      </c>
      <c r="I107">
        <v>354.17</v>
      </c>
      <c r="J107">
        <v>18.97</v>
      </c>
      <c r="K107">
        <v>128563.71</v>
      </c>
      <c r="M107">
        <f t="shared" si="2"/>
        <v>128563.71</v>
      </c>
      <c r="N107" s="11" t="str">
        <f t="shared" si="3"/>
        <v>True</v>
      </c>
    </row>
    <row r="108" spans="1:14" x14ac:dyDescent="0.45">
      <c r="A108" t="s">
        <v>133</v>
      </c>
      <c r="B108" t="s">
        <v>48</v>
      </c>
      <c r="C108" t="s">
        <v>26</v>
      </c>
      <c r="D108" t="s">
        <v>42</v>
      </c>
      <c r="E108" t="s">
        <v>14</v>
      </c>
      <c r="F108" t="s">
        <v>20</v>
      </c>
      <c r="G108" s="7">
        <v>45031</v>
      </c>
      <c r="H108">
        <v>197</v>
      </c>
      <c r="I108">
        <v>225.95</v>
      </c>
      <c r="J108">
        <v>149.82</v>
      </c>
      <c r="K108">
        <v>44512.149999999987</v>
      </c>
      <c r="M108">
        <f t="shared" si="2"/>
        <v>44512.149999999994</v>
      </c>
      <c r="N108" s="11" t="str">
        <f t="shared" si="3"/>
        <v>True</v>
      </c>
    </row>
    <row r="109" spans="1:14" x14ac:dyDescent="0.45">
      <c r="A109" t="s">
        <v>134</v>
      </c>
      <c r="B109" t="s">
        <v>48</v>
      </c>
      <c r="C109" t="s">
        <v>26</v>
      </c>
      <c r="D109" t="s">
        <v>13</v>
      </c>
      <c r="E109" t="s">
        <v>14</v>
      </c>
      <c r="F109" t="s">
        <v>28</v>
      </c>
      <c r="G109" s="7">
        <v>45032</v>
      </c>
      <c r="H109">
        <v>457</v>
      </c>
      <c r="I109">
        <v>432.79</v>
      </c>
      <c r="J109">
        <v>107.81</v>
      </c>
      <c r="K109">
        <v>197785.03</v>
      </c>
      <c r="M109">
        <f t="shared" si="2"/>
        <v>197785.03</v>
      </c>
      <c r="N109" s="11" t="str">
        <f t="shared" si="3"/>
        <v>True</v>
      </c>
    </row>
    <row r="110" spans="1:14" x14ac:dyDescent="0.45">
      <c r="A110" t="s">
        <v>135</v>
      </c>
      <c r="B110" t="s">
        <v>48</v>
      </c>
      <c r="C110" t="s">
        <v>18</v>
      </c>
      <c r="D110" t="s">
        <v>19</v>
      </c>
      <c r="E110" t="s">
        <v>14</v>
      </c>
      <c r="F110" t="s">
        <v>28</v>
      </c>
      <c r="G110" s="7">
        <v>45033</v>
      </c>
      <c r="H110">
        <v>353</v>
      </c>
      <c r="I110">
        <v>281.27999999999997</v>
      </c>
      <c r="J110">
        <v>259.14</v>
      </c>
      <c r="K110">
        <v>99291.839999999997</v>
      </c>
      <c r="M110">
        <f t="shared" si="2"/>
        <v>99291.839999999997</v>
      </c>
      <c r="N110" s="11" t="str">
        <f t="shared" si="3"/>
        <v>True</v>
      </c>
    </row>
    <row r="111" spans="1:14" x14ac:dyDescent="0.45">
      <c r="A111" t="s">
        <v>136</v>
      </c>
      <c r="B111" t="s">
        <v>17</v>
      </c>
      <c r="C111" t="s">
        <v>18</v>
      </c>
      <c r="D111" t="s">
        <v>42</v>
      </c>
      <c r="E111" t="s">
        <v>24</v>
      </c>
      <c r="F111" t="s">
        <v>20</v>
      </c>
      <c r="G111" s="7">
        <v>45034</v>
      </c>
      <c r="H111">
        <v>374</v>
      </c>
      <c r="I111">
        <v>272.25</v>
      </c>
      <c r="J111">
        <v>200.73</v>
      </c>
      <c r="K111">
        <v>101821.5</v>
      </c>
      <c r="M111">
        <f t="shared" si="2"/>
        <v>101821.5</v>
      </c>
      <c r="N111" s="11" t="str">
        <f t="shared" si="3"/>
        <v>True</v>
      </c>
    </row>
    <row r="112" spans="1:14" x14ac:dyDescent="0.45">
      <c r="A112" t="s">
        <v>137</v>
      </c>
      <c r="B112" t="s">
        <v>48</v>
      </c>
      <c r="C112" t="s">
        <v>18</v>
      </c>
      <c r="D112" t="s">
        <v>13</v>
      </c>
      <c r="E112" t="s">
        <v>24</v>
      </c>
      <c r="F112" t="s">
        <v>20</v>
      </c>
      <c r="G112" s="7">
        <v>45035</v>
      </c>
      <c r="H112">
        <v>172</v>
      </c>
      <c r="I112">
        <v>21.92</v>
      </c>
      <c r="J112">
        <v>107.88</v>
      </c>
      <c r="K112">
        <v>3770.24</v>
      </c>
      <c r="M112">
        <f t="shared" si="2"/>
        <v>3770.2400000000002</v>
      </c>
      <c r="N112" s="11" t="str">
        <f t="shared" si="3"/>
        <v>True</v>
      </c>
    </row>
    <row r="113" spans="1:14" x14ac:dyDescent="0.45">
      <c r="A113" t="s">
        <v>138</v>
      </c>
      <c r="B113" t="s">
        <v>11</v>
      </c>
      <c r="C113" t="s">
        <v>31</v>
      </c>
      <c r="D113" t="s">
        <v>13</v>
      </c>
      <c r="E113" t="s">
        <v>24</v>
      </c>
      <c r="F113" t="s">
        <v>28</v>
      </c>
      <c r="G113" s="7">
        <v>45036</v>
      </c>
      <c r="H113">
        <v>335</v>
      </c>
      <c r="I113">
        <v>493.41</v>
      </c>
      <c r="J113">
        <v>61.4</v>
      </c>
      <c r="K113">
        <v>165292.35</v>
      </c>
      <c r="M113">
        <f t="shared" si="2"/>
        <v>165292.35</v>
      </c>
      <c r="N113" s="11" t="str">
        <f t="shared" si="3"/>
        <v>True</v>
      </c>
    </row>
    <row r="114" spans="1:14" x14ac:dyDescent="0.45">
      <c r="A114" t="s">
        <v>139</v>
      </c>
      <c r="B114" t="s">
        <v>17</v>
      </c>
      <c r="C114" t="s">
        <v>50</v>
      </c>
      <c r="D114" t="s">
        <v>23</v>
      </c>
      <c r="E114" t="s">
        <v>14</v>
      </c>
      <c r="F114" t="s">
        <v>28</v>
      </c>
      <c r="G114" s="7">
        <v>45037</v>
      </c>
      <c r="H114">
        <v>476</v>
      </c>
      <c r="I114">
        <v>65.87</v>
      </c>
      <c r="J114">
        <v>52.63</v>
      </c>
      <c r="K114">
        <v>31354.12</v>
      </c>
      <c r="M114">
        <f t="shared" si="2"/>
        <v>31354.120000000003</v>
      </c>
      <c r="N114" s="11" t="str">
        <f t="shared" si="3"/>
        <v>True</v>
      </c>
    </row>
    <row r="115" spans="1:14" x14ac:dyDescent="0.45">
      <c r="A115" t="s">
        <v>140</v>
      </c>
      <c r="B115" t="s">
        <v>11</v>
      </c>
      <c r="C115" t="s">
        <v>26</v>
      </c>
      <c r="D115" t="s">
        <v>13</v>
      </c>
      <c r="E115" t="s">
        <v>14</v>
      </c>
      <c r="F115" t="s">
        <v>15</v>
      </c>
      <c r="G115" s="7">
        <v>45038</v>
      </c>
      <c r="H115">
        <v>423</v>
      </c>
      <c r="I115">
        <v>119.41</v>
      </c>
      <c r="J115">
        <v>346.13</v>
      </c>
      <c r="K115">
        <v>50510.43</v>
      </c>
      <c r="M115">
        <f t="shared" si="2"/>
        <v>50510.43</v>
      </c>
      <c r="N115" s="11" t="str">
        <f t="shared" si="3"/>
        <v>True</v>
      </c>
    </row>
    <row r="116" spans="1:14" x14ac:dyDescent="0.45">
      <c r="A116" t="s">
        <v>141</v>
      </c>
      <c r="B116" t="s">
        <v>17</v>
      </c>
      <c r="C116" t="s">
        <v>26</v>
      </c>
      <c r="D116" t="s">
        <v>13</v>
      </c>
      <c r="E116" t="s">
        <v>14</v>
      </c>
      <c r="F116" t="s">
        <v>15</v>
      </c>
      <c r="G116" s="7">
        <v>45039</v>
      </c>
      <c r="H116">
        <v>464</v>
      </c>
      <c r="I116">
        <v>30.59</v>
      </c>
      <c r="J116">
        <v>98.9</v>
      </c>
      <c r="K116">
        <v>14193.76</v>
      </c>
      <c r="M116">
        <f t="shared" si="2"/>
        <v>14193.76</v>
      </c>
      <c r="N116" s="11" t="str">
        <f t="shared" si="3"/>
        <v>True</v>
      </c>
    </row>
    <row r="117" spans="1:14" x14ac:dyDescent="0.45">
      <c r="A117" t="s">
        <v>142</v>
      </c>
      <c r="B117" t="s">
        <v>48</v>
      </c>
      <c r="C117" t="s">
        <v>31</v>
      </c>
      <c r="D117" t="s">
        <v>13</v>
      </c>
      <c r="E117" t="s">
        <v>24</v>
      </c>
      <c r="F117" t="s">
        <v>28</v>
      </c>
      <c r="G117" s="7">
        <v>45040</v>
      </c>
      <c r="H117">
        <v>83</v>
      </c>
      <c r="I117">
        <v>321.8</v>
      </c>
      <c r="J117">
        <v>261.38</v>
      </c>
      <c r="K117">
        <v>26709.4</v>
      </c>
      <c r="M117">
        <f t="shared" si="2"/>
        <v>26709.4</v>
      </c>
      <c r="N117" s="11" t="str">
        <f t="shared" si="3"/>
        <v>True</v>
      </c>
    </row>
    <row r="118" spans="1:14" x14ac:dyDescent="0.45">
      <c r="A118" t="s">
        <v>143</v>
      </c>
      <c r="B118" t="s">
        <v>11</v>
      </c>
      <c r="C118" t="s">
        <v>26</v>
      </c>
      <c r="D118" t="s">
        <v>13</v>
      </c>
      <c r="E118" t="s">
        <v>14</v>
      </c>
      <c r="F118" t="s">
        <v>20</v>
      </c>
      <c r="G118" s="7">
        <v>45041</v>
      </c>
      <c r="H118">
        <v>242</v>
      </c>
      <c r="I118">
        <v>116.23</v>
      </c>
      <c r="J118">
        <v>324.64999999999998</v>
      </c>
      <c r="K118">
        <v>28127.66</v>
      </c>
      <c r="M118">
        <f t="shared" si="2"/>
        <v>28127.66</v>
      </c>
      <c r="N118" s="11" t="str">
        <f t="shared" si="3"/>
        <v>True</v>
      </c>
    </row>
    <row r="119" spans="1:14" x14ac:dyDescent="0.45">
      <c r="A119" t="s">
        <v>144</v>
      </c>
      <c r="B119" t="s">
        <v>17</v>
      </c>
      <c r="C119" t="s">
        <v>18</v>
      </c>
      <c r="D119" t="s">
        <v>27</v>
      </c>
      <c r="E119" t="s">
        <v>24</v>
      </c>
      <c r="F119" t="s">
        <v>20</v>
      </c>
      <c r="G119" s="7">
        <v>45042</v>
      </c>
      <c r="H119">
        <v>233</v>
      </c>
      <c r="I119">
        <v>94.11</v>
      </c>
      <c r="J119">
        <v>246.4</v>
      </c>
      <c r="K119">
        <v>21927.63</v>
      </c>
      <c r="M119">
        <f t="shared" si="2"/>
        <v>21927.63</v>
      </c>
      <c r="N119" s="11" t="str">
        <f t="shared" si="3"/>
        <v>True</v>
      </c>
    </row>
    <row r="120" spans="1:14" x14ac:dyDescent="0.45">
      <c r="A120" t="s">
        <v>145</v>
      </c>
      <c r="B120" t="s">
        <v>22</v>
      </c>
      <c r="C120" t="s">
        <v>50</v>
      </c>
      <c r="D120" t="s">
        <v>27</v>
      </c>
      <c r="E120" t="s">
        <v>24</v>
      </c>
      <c r="F120" t="s">
        <v>20</v>
      </c>
      <c r="G120" s="7">
        <v>45043</v>
      </c>
      <c r="H120">
        <v>491</v>
      </c>
      <c r="I120">
        <v>48.84</v>
      </c>
      <c r="J120">
        <v>344.11</v>
      </c>
      <c r="K120">
        <v>23980.44</v>
      </c>
      <c r="M120">
        <f t="shared" si="2"/>
        <v>23980.440000000002</v>
      </c>
      <c r="N120" s="11" t="str">
        <f t="shared" si="3"/>
        <v>True</v>
      </c>
    </row>
    <row r="121" spans="1:14" x14ac:dyDescent="0.45">
      <c r="A121" t="s">
        <v>146</v>
      </c>
      <c r="B121" t="s">
        <v>17</v>
      </c>
      <c r="C121" t="s">
        <v>12</v>
      </c>
      <c r="D121" t="s">
        <v>23</v>
      </c>
      <c r="E121" t="s">
        <v>24</v>
      </c>
      <c r="F121" t="s">
        <v>20</v>
      </c>
      <c r="G121" s="7">
        <v>45044</v>
      </c>
      <c r="H121">
        <v>328</v>
      </c>
      <c r="I121">
        <v>56.14</v>
      </c>
      <c r="J121">
        <v>158.16999999999999</v>
      </c>
      <c r="K121">
        <v>18413.919999999998</v>
      </c>
      <c r="M121">
        <f t="shared" si="2"/>
        <v>18413.920000000002</v>
      </c>
      <c r="N121" s="11" t="str">
        <f t="shared" si="3"/>
        <v>True</v>
      </c>
    </row>
    <row r="122" spans="1:14" x14ac:dyDescent="0.45">
      <c r="A122" t="s">
        <v>147</v>
      </c>
      <c r="B122" t="s">
        <v>17</v>
      </c>
      <c r="C122" t="s">
        <v>26</v>
      </c>
      <c r="D122" t="s">
        <v>42</v>
      </c>
      <c r="E122" t="s">
        <v>24</v>
      </c>
      <c r="F122" t="s">
        <v>15</v>
      </c>
      <c r="G122" s="7">
        <v>45045</v>
      </c>
      <c r="H122">
        <v>421</v>
      </c>
      <c r="I122">
        <v>294.41000000000003</v>
      </c>
      <c r="J122">
        <v>382.58</v>
      </c>
      <c r="K122">
        <v>123946.61</v>
      </c>
      <c r="M122">
        <f t="shared" si="2"/>
        <v>123946.61000000002</v>
      </c>
      <c r="N122" s="11" t="str">
        <f t="shared" si="3"/>
        <v>True</v>
      </c>
    </row>
    <row r="123" spans="1:14" x14ac:dyDescent="0.45">
      <c r="A123" t="s">
        <v>148</v>
      </c>
      <c r="B123" t="s">
        <v>22</v>
      </c>
      <c r="C123" t="s">
        <v>18</v>
      </c>
      <c r="D123" t="s">
        <v>13</v>
      </c>
      <c r="E123" t="s">
        <v>24</v>
      </c>
      <c r="F123" t="s">
        <v>28</v>
      </c>
      <c r="G123" s="7">
        <v>45046</v>
      </c>
      <c r="H123">
        <v>69</v>
      </c>
      <c r="I123">
        <v>345.66</v>
      </c>
      <c r="J123">
        <v>54.99</v>
      </c>
      <c r="K123">
        <v>23850.54</v>
      </c>
      <c r="M123">
        <f t="shared" si="2"/>
        <v>23850.54</v>
      </c>
      <c r="N123" s="11" t="str">
        <f t="shared" si="3"/>
        <v>True</v>
      </c>
    </row>
    <row r="124" spans="1:14" x14ac:dyDescent="0.45">
      <c r="A124" t="s">
        <v>149</v>
      </c>
      <c r="B124" t="s">
        <v>17</v>
      </c>
      <c r="C124" t="s">
        <v>12</v>
      </c>
      <c r="D124" t="s">
        <v>42</v>
      </c>
      <c r="E124" t="s">
        <v>24</v>
      </c>
      <c r="F124" t="s">
        <v>20</v>
      </c>
      <c r="G124" s="7">
        <v>45047</v>
      </c>
      <c r="H124">
        <v>344</v>
      </c>
      <c r="I124">
        <v>201.7</v>
      </c>
      <c r="J124">
        <v>42.66</v>
      </c>
      <c r="K124">
        <v>69384.800000000003</v>
      </c>
      <c r="M124">
        <f t="shared" si="2"/>
        <v>69384.800000000003</v>
      </c>
      <c r="N124" s="11" t="str">
        <f t="shared" si="3"/>
        <v>True</v>
      </c>
    </row>
    <row r="125" spans="1:14" x14ac:dyDescent="0.45">
      <c r="A125" t="s">
        <v>150</v>
      </c>
      <c r="B125" t="s">
        <v>17</v>
      </c>
      <c r="C125" t="s">
        <v>50</v>
      </c>
      <c r="D125" t="s">
        <v>42</v>
      </c>
      <c r="E125" t="s">
        <v>14</v>
      </c>
      <c r="F125" t="s">
        <v>15</v>
      </c>
      <c r="G125" s="7">
        <v>45048</v>
      </c>
      <c r="H125">
        <v>231</v>
      </c>
      <c r="I125">
        <v>242.55</v>
      </c>
      <c r="J125">
        <v>264.16000000000003</v>
      </c>
      <c r="K125">
        <v>56029.05</v>
      </c>
      <c r="M125">
        <f t="shared" si="2"/>
        <v>56029.05</v>
      </c>
      <c r="N125" s="11" t="str">
        <f t="shared" si="3"/>
        <v>True</v>
      </c>
    </row>
    <row r="126" spans="1:14" x14ac:dyDescent="0.45">
      <c r="A126" t="s">
        <v>151</v>
      </c>
      <c r="B126" t="s">
        <v>48</v>
      </c>
      <c r="C126" t="s">
        <v>12</v>
      </c>
      <c r="D126" t="s">
        <v>23</v>
      </c>
      <c r="E126" t="s">
        <v>14</v>
      </c>
      <c r="F126" t="s">
        <v>20</v>
      </c>
      <c r="G126" s="7">
        <v>45049</v>
      </c>
      <c r="H126">
        <v>46</v>
      </c>
      <c r="I126">
        <v>344.55</v>
      </c>
      <c r="J126">
        <v>377.25</v>
      </c>
      <c r="K126">
        <v>15849.3</v>
      </c>
      <c r="M126">
        <f t="shared" si="2"/>
        <v>15849.300000000001</v>
      </c>
      <c r="N126" s="11" t="str">
        <f t="shared" si="3"/>
        <v>True</v>
      </c>
    </row>
    <row r="127" spans="1:14" x14ac:dyDescent="0.45">
      <c r="A127" t="s">
        <v>152</v>
      </c>
      <c r="B127" t="s">
        <v>11</v>
      </c>
      <c r="C127" t="s">
        <v>18</v>
      </c>
      <c r="D127" t="s">
        <v>13</v>
      </c>
      <c r="E127" t="s">
        <v>24</v>
      </c>
      <c r="F127" t="s">
        <v>28</v>
      </c>
      <c r="G127" s="7">
        <v>45050</v>
      </c>
      <c r="H127">
        <v>486</v>
      </c>
      <c r="I127">
        <v>13.6</v>
      </c>
      <c r="J127">
        <v>323.94</v>
      </c>
      <c r="K127">
        <v>6609.5999999999995</v>
      </c>
      <c r="M127">
        <f t="shared" si="2"/>
        <v>6609.5999999999995</v>
      </c>
      <c r="N127" s="11" t="str">
        <f t="shared" si="3"/>
        <v>True</v>
      </c>
    </row>
    <row r="128" spans="1:14" x14ac:dyDescent="0.45">
      <c r="A128" t="s">
        <v>153</v>
      </c>
      <c r="B128" t="s">
        <v>22</v>
      </c>
      <c r="C128" t="s">
        <v>12</v>
      </c>
      <c r="D128" t="s">
        <v>13</v>
      </c>
      <c r="E128" t="s">
        <v>24</v>
      </c>
      <c r="F128" t="s">
        <v>15</v>
      </c>
      <c r="G128" s="7">
        <v>45051</v>
      </c>
      <c r="H128">
        <v>287</v>
      </c>
      <c r="I128">
        <v>164.95</v>
      </c>
      <c r="J128">
        <v>32.409999999999997</v>
      </c>
      <c r="K128">
        <v>47340.649999999987</v>
      </c>
      <c r="M128">
        <f t="shared" si="2"/>
        <v>47340.649999999994</v>
      </c>
      <c r="N128" s="11" t="str">
        <f t="shared" si="3"/>
        <v>True</v>
      </c>
    </row>
    <row r="129" spans="1:14" x14ac:dyDescent="0.45">
      <c r="A129" t="s">
        <v>154</v>
      </c>
      <c r="B129" t="s">
        <v>17</v>
      </c>
      <c r="C129" t="s">
        <v>31</v>
      </c>
      <c r="D129" t="s">
        <v>19</v>
      </c>
      <c r="E129" t="s">
        <v>14</v>
      </c>
      <c r="F129" t="s">
        <v>28</v>
      </c>
      <c r="G129" s="7">
        <v>45052</v>
      </c>
      <c r="H129">
        <v>205</v>
      </c>
      <c r="I129">
        <v>486.68</v>
      </c>
      <c r="J129">
        <v>113.19</v>
      </c>
      <c r="K129">
        <v>99769.4</v>
      </c>
      <c r="M129">
        <f t="shared" si="2"/>
        <v>99769.4</v>
      </c>
      <c r="N129" s="11" t="str">
        <f t="shared" si="3"/>
        <v>True</v>
      </c>
    </row>
    <row r="130" spans="1:14" x14ac:dyDescent="0.45">
      <c r="A130" t="s">
        <v>155</v>
      </c>
      <c r="B130" t="s">
        <v>48</v>
      </c>
      <c r="C130" t="s">
        <v>12</v>
      </c>
      <c r="D130" t="s">
        <v>42</v>
      </c>
      <c r="E130" t="s">
        <v>24</v>
      </c>
      <c r="F130" t="s">
        <v>28</v>
      </c>
      <c r="G130" s="7">
        <v>45053</v>
      </c>
      <c r="H130">
        <v>413</v>
      </c>
      <c r="I130">
        <v>292.16000000000003</v>
      </c>
      <c r="J130">
        <v>372.27</v>
      </c>
      <c r="K130">
        <v>120662.08</v>
      </c>
      <c r="M130">
        <f t="shared" si="2"/>
        <v>120662.08000000002</v>
      </c>
      <c r="N130" s="11" t="str">
        <f t="shared" si="3"/>
        <v>True</v>
      </c>
    </row>
    <row r="131" spans="1:14" x14ac:dyDescent="0.45">
      <c r="A131" t="s">
        <v>156</v>
      </c>
      <c r="B131" t="s">
        <v>22</v>
      </c>
      <c r="C131" t="s">
        <v>26</v>
      </c>
      <c r="D131" t="s">
        <v>42</v>
      </c>
      <c r="E131" t="s">
        <v>24</v>
      </c>
      <c r="F131" t="s">
        <v>15</v>
      </c>
      <c r="G131" s="7">
        <v>45054</v>
      </c>
      <c r="H131">
        <v>361</v>
      </c>
      <c r="I131">
        <v>130.84</v>
      </c>
      <c r="J131">
        <v>102.72</v>
      </c>
      <c r="K131">
        <v>47233.24</v>
      </c>
      <c r="M131">
        <f t="shared" si="2"/>
        <v>47233.24</v>
      </c>
      <c r="N131" s="11" t="str">
        <f t="shared" si="3"/>
        <v>True</v>
      </c>
    </row>
    <row r="132" spans="1:14" x14ac:dyDescent="0.45">
      <c r="A132" t="s">
        <v>157</v>
      </c>
      <c r="B132" t="s">
        <v>17</v>
      </c>
      <c r="C132" t="s">
        <v>26</v>
      </c>
      <c r="D132" t="s">
        <v>27</v>
      </c>
      <c r="E132" t="s">
        <v>14</v>
      </c>
      <c r="F132" t="s">
        <v>15</v>
      </c>
      <c r="G132" s="7">
        <v>45055</v>
      </c>
      <c r="H132">
        <v>493</v>
      </c>
      <c r="I132">
        <v>263.26</v>
      </c>
      <c r="J132">
        <v>312.91000000000003</v>
      </c>
      <c r="K132">
        <v>129787.18</v>
      </c>
      <c r="M132">
        <f t="shared" si="2"/>
        <v>129787.18</v>
      </c>
      <c r="N132" s="11" t="str">
        <f t="shared" si="3"/>
        <v>True</v>
      </c>
    </row>
    <row r="133" spans="1:14" x14ac:dyDescent="0.45">
      <c r="A133" t="s">
        <v>158</v>
      </c>
      <c r="B133" t="s">
        <v>17</v>
      </c>
      <c r="C133" t="s">
        <v>31</v>
      </c>
      <c r="D133" t="s">
        <v>19</v>
      </c>
      <c r="E133" t="s">
        <v>24</v>
      </c>
      <c r="F133" t="s">
        <v>15</v>
      </c>
      <c r="G133" s="7">
        <v>45056</v>
      </c>
      <c r="H133">
        <v>251</v>
      </c>
      <c r="I133">
        <v>174.61</v>
      </c>
      <c r="J133">
        <v>330.4</v>
      </c>
      <c r="K133">
        <v>43827.11</v>
      </c>
      <c r="M133">
        <f t="shared" ref="M133:M196" si="4">$H133*$I133</f>
        <v>43827.11</v>
      </c>
      <c r="N133" s="11" t="str">
        <f t="shared" ref="N133:N196" si="5">IF(K133=M133,"True","False")</f>
        <v>True</v>
      </c>
    </row>
    <row r="134" spans="1:14" x14ac:dyDescent="0.45">
      <c r="A134" t="s">
        <v>159</v>
      </c>
      <c r="B134" t="s">
        <v>17</v>
      </c>
      <c r="C134" t="s">
        <v>18</v>
      </c>
      <c r="D134" t="s">
        <v>27</v>
      </c>
      <c r="E134" t="s">
        <v>24</v>
      </c>
      <c r="F134" t="s">
        <v>15</v>
      </c>
      <c r="G134" s="7">
        <v>45057</v>
      </c>
      <c r="H134">
        <v>248.5</v>
      </c>
      <c r="I134">
        <v>268.45999999999998</v>
      </c>
      <c r="J134">
        <v>199.19</v>
      </c>
      <c r="K134">
        <v>66712.31</v>
      </c>
      <c r="M134">
        <f t="shared" si="4"/>
        <v>66712.31</v>
      </c>
      <c r="N134" s="11" t="str">
        <f t="shared" si="5"/>
        <v>True</v>
      </c>
    </row>
    <row r="135" spans="1:14" x14ac:dyDescent="0.45">
      <c r="A135" t="s">
        <v>160</v>
      </c>
      <c r="B135" t="s">
        <v>22</v>
      </c>
      <c r="C135" t="s">
        <v>26</v>
      </c>
      <c r="D135" t="s">
        <v>27</v>
      </c>
      <c r="E135" t="s">
        <v>24</v>
      </c>
      <c r="F135" t="s">
        <v>15</v>
      </c>
      <c r="G135" s="7">
        <v>45058</v>
      </c>
      <c r="H135">
        <v>228</v>
      </c>
      <c r="I135">
        <v>67.239999999999995</v>
      </c>
      <c r="J135">
        <v>155.77000000000001</v>
      </c>
      <c r="K135">
        <v>15330.72</v>
      </c>
      <c r="M135">
        <f t="shared" si="4"/>
        <v>15330.72</v>
      </c>
      <c r="N135" s="11" t="str">
        <f t="shared" si="5"/>
        <v>True</v>
      </c>
    </row>
    <row r="136" spans="1:14" x14ac:dyDescent="0.45">
      <c r="A136" t="s">
        <v>161</v>
      </c>
      <c r="B136" t="s">
        <v>22</v>
      </c>
      <c r="C136" t="s">
        <v>50</v>
      </c>
      <c r="D136" t="s">
        <v>27</v>
      </c>
      <c r="E136" t="s">
        <v>14</v>
      </c>
      <c r="F136" t="s">
        <v>15</v>
      </c>
      <c r="G136" s="7">
        <v>45059</v>
      </c>
      <c r="H136">
        <v>201</v>
      </c>
      <c r="I136">
        <v>70.69</v>
      </c>
      <c r="J136">
        <v>181.15</v>
      </c>
      <c r="K136">
        <v>14208.69</v>
      </c>
      <c r="M136">
        <f t="shared" si="4"/>
        <v>14208.689999999999</v>
      </c>
      <c r="N136" s="11" t="str">
        <f t="shared" si="5"/>
        <v>True</v>
      </c>
    </row>
    <row r="137" spans="1:14" x14ac:dyDescent="0.45">
      <c r="A137" t="s">
        <v>162</v>
      </c>
      <c r="B137" t="s">
        <v>22</v>
      </c>
      <c r="C137" t="s">
        <v>26</v>
      </c>
      <c r="D137" t="s">
        <v>23</v>
      </c>
      <c r="E137" t="s">
        <v>14</v>
      </c>
      <c r="F137" t="s">
        <v>15</v>
      </c>
      <c r="G137" s="7">
        <v>45060</v>
      </c>
      <c r="H137">
        <v>26</v>
      </c>
      <c r="I137">
        <v>76.05</v>
      </c>
      <c r="J137">
        <v>92.33</v>
      </c>
      <c r="K137">
        <v>1977.3</v>
      </c>
      <c r="M137">
        <f t="shared" si="4"/>
        <v>1977.3</v>
      </c>
      <c r="N137" s="11" t="str">
        <f t="shared" si="5"/>
        <v>True</v>
      </c>
    </row>
    <row r="138" spans="1:14" x14ac:dyDescent="0.45">
      <c r="A138" t="s">
        <v>163</v>
      </c>
      <c r="B138" t="s">
        <v>11</v>
      </c>
      <c r="C138" t="s">
        <v>26</v>
      </c>
      <c r="D138" t="s">
        <v>23</v>
      </c>
      <c r="E138" t="s">
        <v>14</v>
      </c>
      <c r="F138" t="s">
        <v>20</v>
      </c>
      <c r="G138" s="7">
        <v>45061</v>
      </c>
      <c r="H138">
        <v>21</v>
      </c>
      <c r="I138">
        <v>470.21</v>
      </c>
      <c r="J138">
        <v>355.98</v>
      </c>
      <c r="K138">
        <v>9874.41</v>
      </c>
      <c r="M138">
        <f t="shared" si="4"/>
        <v>9874.41</v>
      </c>
      <c r="N138" s="11" t="str">
        <f t="shared" si="5"/>
        <v>True</v>
      </c>
    </row>
    <row r="139" spans="1:14" x14ac:dyDescent="0.45">
      <c r="A139" t="s">
        <v>164</v>
      </c>
      <c r="B139" t="s">
        <v>22</v>
      </c>
      <c r="C139" t="s">
        <v>18</v>
      </c>
      <c r="D139" t="s">
        <v>27</v>
      </c>
      <c r="E139" t="s">
        <v>24</v>
      </c>
      <c r="F139" t="s">
        <v>28</v>
      </c>
      <c r="G139" s="7">
        <v>45062</v>
      </c>
      <c r="H139">
        <v>415</v>
      </c>
      <c r="I139">
        <v>367.78</v>
      </c>
      <c r="J139">
        <v>181.35</v>
      </c>
      <c r="K139">
        <v>152628.70000000001</v>
      </c>
      <c r="M139">
        <f t="shared" si="4"/>
        <v>152628.69999999998</v>
      </c>
      <c r="N139" s="11" t="str">
        <f t="shared" si="5"/>
        <v>True</v>
      </c>
    </row>
    <row r="140" spans="1:14" x14ac:dyDescent="0.45">
      <c r="A140" t="s">
        <v>165</v>
      </c>
      <c r="B140" t="s">
        <v>22</v>
      </c>
      <c r="C140" t="s">
        <v>12</v>
      </c>
      <c r="D140" t="s">
        <v>19</v>
      </c>
      <c r="E140" t="s">
        <v>24</v>
      </c>
      <c r="F140" t="s">
        <v>15</v>
      </c>
      <c r="G140" s="7">
        <v>45063</v>
      </c>
      <c r="H140">
        <v>410</v>
      </c>
      <c r="I140">
        <v>85.38</v>
      </c>
      <c r="J140">
        <v>353.22</v>
      </c>
      <c r="K140">
        <v>35005.800000000003</v>
      </c>
      <c r="M140">
        <f t="shared" si="4"/>
        <v>35005.799999999996</v>
      </c>
      <c r="N140" s="11" t="str">
        <f t="shared" si="5"/>
        <v>True</v>
      </c>
    </row>
    <row r="141" spans="1:14" x14ac:dyDescent="0.45">
      <c r="A141" t="s">
        <v>166</v>
      </c>
      <c r="B141" t="s">
        <v>22</v>
      </c>
      <c r="C141" t="s">
        <v>26</v>
      </c>
      <c r="D141" t="s">
        <v>42</v>
      </c>
      <c r="E141" t="s">
        <v>14</v>
      </c>
      <c r="F141" t="s">
        <v>20</v>
      </c>
      <c r="G141" s="7">
        <v>45064</v>
      </c>
      <c r="H141">
        <v>403</v>
      </c>
      <c r="I141">
        <v>98.23</v>
      </c>
      <c r="J141">
        <v>44.07</v>
      </c>
      <c r="K141">
        <v>39586.69</v>
      </c>
      <c r="M141">
        <f t="shared" si="4"/>
        <v>39586.69</v>
      </c>
      <c r="N141" s="11" t="str">
        <f t="shared" si="5"/>
        <v>True</v>
      </c>
    </row>
    <row r="142" spans="1:14" x14ac:dyDescent="0.45">
      <c r="A142" t="s">
        <v>167</v>
      </c>
      <c r="B142" t="s">
        <v>11</v>
      </c>
      <c r="C142" t="s">
        <v>31</v>
      </c>
      <c r="D142" t="s">
        <v>19</v>
      </c>
      <c r="E142" t="s">
        <v>24</v>
      </c>
      <c r="F142" t="s">
        <v>20</v>
      </c>
      <c r="G142" s="7">
        <v>45065</v>
      </c>
      <c r="H142">
        <v>383</v>
      </c>
      <c r="I142">
        <v>366.76</v>
      </c>
      <c r="J142">
        <v>395.33</v>
      </c>
      <c r="K142">
        <v>140469.07999999999</v>
      </c>
      <c r="M142">
        <f t="shared" si="4"/>
        <v>140469.07999999999</v>
      </c>
      <c r="N142" s="11" t="str">
        <f t="shared" si="5"/>
        <v>True</v>
      </c>
    </row>
    <row r="143" spans="1:14" x14ac:dyDescent="0.45">
      <c r="A143" t="s">
        <v>168</v>
      </c>
      <c r="B143" t="s">
        <v>22</v>
      </c>
      <c r="C143" t="s">
        <v>12</v>
      </c>
      <c r="D143" t="s">
        <v>13</v>
      </c>
      <c r="E143" t="s">
        <v>24</v>
      </c>
      <c r="F143" t="s">
        <v>20</v>
      </c>
      <c r="G143" s="7">
        <v>45066</v>
      </c>
      <c r="H143">
        <v>202</v>
      </c>
      <c r="I143">
        <v>82.3</v>
      </c>
      <c r="J143">
        <v>178.42</v>
      </c>
      <c r="K143">
        <v>16624.599999999999</v>
      </c>
      <c r="M143">
        <f t="shared" si="4"/>
        <v>16624.599999999999</v>
      </c>
      <c r="N143" s="11" t="str">
        <f t="shared" si="5"/>
        <v>True</v>
      </c>
    </row>
    <row r="144" spans="1:14" x14ac:dyDescent="0.45">
      <c r="A144" t="s">
        <v>169</v>
      </c>
      <c r="B144" t="s">
        <v>17</v>
      </c>
      <c r="C144" t="s">
        <v>50</v>
      </c>
      <c r="D144" t="s">
        <v>23</v>
      </c>
      <c r="E144" t="s">
        <v>24</v>
      </c>
      <c r="F144" t="s">
        <v>28</v>
      </c>
      <c r="G144" s="7">
        <v>45067</v>
      </c>
      <c r="H144">
        <v>31</v>
      </c>
      <c r="I144">
        <v>121.11</v>
      </c>
      <c r="J144">
        <v>21.04</v>
      </c>
      <c r="K144">
        <v>3754.41</v>
      </c>
      <c r="M144">
        <f t="shared" si="4"/>
        <v>3754.41</v>
      </c>
      <c r="N144" s="11" t="str">
        <f t="shared" si="5"/>
        <v>True</v>
      </c>
    </row>
    <row r="145" spans="1:14" x14ac:dyDescent="0.45">
      <c r="A145" t="s">
        <v>170</v>
      </c>
      <c r="B145" t="s">
        <v>22</v>
      </c>
      <c r="C145" t="s">
        <v>18</v>
      </c>
      <c r="D145" t="s">
        <v>42</v>
      </c>
      <c r="E145" t="s">
        <v>24</v>
      </c>
      <c r="F145" t="s">
        <v>15</v>
      </c>
      <c r="G145" s="7">
        <v>45068</v>
      </c>
      <c r="H145">
        <v>483</v>
      </c>
      <c r="I145">
        <v>481.86</v>
      </c>
      <c r="J145">
        <v>17.13</v>
      </c>
      <c r="K145">
        <v>232738.38</v>
      </c>
      <c r="M145">
        <f t="shared" si="4"/>
        <v>232738.38</v>
      </c>
      <c r="N145" s="11" t="str">
        <f t="shared" si="5"/>
        <v>True</v>
      </c>
    </row>
    <row r="146" spans="1:14" x14ac:dyDescent="0.45">
      <c r="A146" t="s">
        <v>171</v>
      </c>
      <c r="B146" t="s">
        <v>17</v>
      </c>
      <c r="C146" t="s">
        <v>50</v>
      </c>
      <c r="D146" t="s">
        <v>42</v>
      </c>
      <c r="E146" t="s">
        <v>24</v>
      </c>
      <c r="F146" t="s">
        <v>20</v>
      </c>
      <c r="G146" s="7">
        <v>45069</v>
      </c>
      <c r="H146">
        <v>129</v>
      </c>
      <c r="I146">
        <v>131.38</v>
      </c>
      <c r="J146">
        <v>298.99</v>
      </c>
      <c r="K146">
        <v>16948.02</v>
      </c>
      <c r="M146">
        <f t="shared" si="4"/>
        <v>16948.02</v>
      </c>
      <c r="N146" s="11" t="str">
        <f t="shared" si="5"/>
        <v>True</v>
      </c>
    </row>
    <row r="147" spans="1:14" x14ac:dyDescent="0.45">
      <c r="A147" t="s">
        <v>172</v>
      </c>
      <c r="B147" t="s">
        <v>17</v>
      </c>
      <c r="C147" t="s">
        <v>12</v>
      </c>
      <c r="D147" t="s">
        <v>13</v>
      </c>
      <c r="E147" t="s">
        <v>14</v>
      </c>
      <c r="F147" t="s">
        <v>28</v>
      </c>
      <c r="G147" s="7">
        <v>45070</v>
      </c>
      <c r="H147">
        <v>219</v>
      </c>
      <c r="I147">
        <v>332.51</v>
      </c>
      <c r="J147">
        <v>264.3</v>
      </c>
      <c r="K147">
        <v>72819.69</v>
      </c>
      <c r="M147">
        <f t="shared" si="4"/>
        <v>72819.69</v>
      </c>
      <c r="N147" s="11" t="str">
        <f t="shared" si="5"/>
        <v>True</v>
      </c>
    </row>
    <row r="148" spans="1:14" x14ac:dyDescent="0.45">
      <c r="A148" t="s">
        <v>173</v>
      </c>
      <c r="B148" t="s">
        <v>17</v>
      </c>
      <c r="C148" t="s">
        <v>12</v>
      </c>
      <c r="D148" t="s">
        <v>13</v>
      </c>
      <c r="E148" t="s">
        <v>24</v>
      </c>
      <c r="F148" t="s">
        <v>28</v>
      </c>
      <c r="G148" s="7">
        <v>45071</v>
      </c>
      <c r="H148">
        <v>315</v>
      </c>
      <c r="I148">
        <v>489.42</v>
      </c>
      <c r="J148">
        <v>321.25</v>
      </c>
      <c r="K148">
        <v>154167.29999999999</v>
      </c>
      <c r="M148">
        <f t="shared" si="4"/>
        <v>154167.30000000002</v>
      </c>
      <c r="N148" s="11" t="str">
        <f t="shared" si="5"/>
        <v>True</v>
      </c>
    </row>
    <row r="149" spans="1:14" x14ac:dyDescent="0.45">
      <c r="A149" t="s">
        <v>174</v>
      </c>
      <c r="B149" t="s">
        <v>11</v>
      </c>
      <c r="C149" t="s">
        <v>12</v>
      </c>
      <c r="D149" t="s">
        <v>27</v>
      </c>
      <c r="E149" t="s">
        <v>14</v>
      </c>
      <c r="F149" t="s">
        <v>28</v>
      </c>
      <c r="G149" s="7">
        <v>45072</v>
      </c>
      <c r="H149">
        <v>279</v>
      </c>
      <c r="I149">
        <v>190.28</v>
      </c>
      <c r="J149">
        <v>43.94</v>
      </c>
      <c r="K149">
        <v>53088.12</v>
      </c>
      <c r="M149">
        <f t="shared" si="4"/>
        <v>53088.12</v>
      </c>
      <c r="N149" s="11" t="str">
        <f t="shared" si="5"/>
        <v>True</v>
      </c>
    </row>
    <row r="150" spans="1:14" x14ac:dyDescent="0.45">
      <c r="A150" t="s">
        <v>175</v>
      </c>
      <c r="B150" t="s">
        <v>11</v>
      </c>
      <c r="C150" t="s">
        <v>50</v>
      </c>
      <c r="D150" t="s">
        <v>23</v>
      </c>
      <c r="E150" t="s">
        <v>24</v>
      </c>
      <c r="F150" t="s">
        <v>20</v>
      </c>
      <c r="G150" s="7">
        <v>45073</v>
      </c>
      <c r="H150">
        <v>201</v>
      </c>
      <c r="I150">
        <v>13.67</v>
      </c>
      <c r="J150">
        <v>16.16</v>
      </c>
      <c r="K150">
        <v>2747.67</v>
      </c>
      <c r="M150">
        <f t="shared" si="4"/>
        <v>2747.67</v>
      </c>
      <c r="N150" s="11" t="str">
        <f t="shared" si="5"/>
        <v>True</v>
      </c>
    </row>
    <row r="151" spans="1:14" x14ac:dyDescent="0.45">
      <c r="A151" t="s">
        <v>176</v>
      </c>
      <c r="B151" t="s">
        <v>11</v>
      </c>
      <c r="C151" t="s">
        <v>12</v>
      </c>
      <c r="D151" t="s">
        <v>23</v>
      </c>
      <c r="E151" t="s">
        <v>14</v>
      </c>
      <c r="F151" t="s">
        <v>15</v>
      </c>
      <c r="G151" s="7">
        <v>45074</v>
      </c>
      <c r="H151">
        <v>184</v>
      </c>
      <c r="I151">
        <v>125.85</v>
      </c>
      <c r="J151">
        <v>204.41</v>
      </c>
      <c r="K151">
        <v>23156.400000000001</v>
      </c>
      <c r="M151">
        <f t="shared" si="4"/>
        <v>23156.399999999998</v>
      </c>
      <c r="N151" s="11" t="str">
        <f t="shared" si="5"/>
        <v>True</v>
      </c>
    </row>
    <row r="152" spans="1:14" x14ac:dyDescent="0.45">
      <c r="A152" t="s">
        <v>177</v>
      </c>
      <c r="B152" t="s">
        <v>22</v>
      </c>
      <c r="C152" t="s">
        <v>50</v>
      </c>
      <c r="D152" t="s">
        <v>19</v>
      </c>
      <c r="E152" t="s">
        <v>24</v>
      </c>
      <c r="F152" t="s">
        <v>20</v>
      </c>
      <c r="G152" s="7">
        <v>45075</v>
      </c>
      <c r="H152">
        <v>294</v>
      </c>
      <c r="I152">
        <v>416.28</v>
      </c>
      <c r="J152">
        <v>156.26</v>
      </c>
      <c r="K152">
        <v>122386.32</v>
      </c>
      <c r="M152">
        <f t="shared" si="4"/>
        <v>122386.31999999999</v>
      </c>
      <c r="N152" s="11" t="str">
        <f t="shared" si="5"/>
        <v>True</v>
      </c>
    </row>
    <row r="153" spans="1:14" x14ac:dyDescent="0.45">
      <c r="A153" t="s">
        <v>178</v>
      </c>
      <c r="B153" t="s">
        <v>17</v>
      </c>
      <c r="C153" t="s">
        <v>12</v>
      </c>
      <c r="D153" t="s">
        <v>27</v>
      </c>
      <c r="E153" t="s">
        <v>14</v>
      </c>
      <c r="F153" t="s">
        <v>20</v>
      </c>
      <c r="G153" s="7">
        <v>45076</v>
      </c>
      <c r="H153">
        <v>213</v>
      </c>
      <c r="I153">
        <v>432.98</v>
      </c>
      <c r="J153">
        <v>185.85</v>
      </c>
      <c r="K153">
        <v>92224.74</v>
      </c>
      <c r="M153">
        <f t="shared" si="4"/>
        <v>92224.74</v>
      </c>
      <c r="N153" s="11" t="str">
        <f t="shared" si="5"/>
        <v>True</v>
      </c>
    </row>
    <row r="154" spans="1:14" x14ac:dyDescent="0.45">
      <c r="A154" t="s">
        <v>179</v>
      </c>
      <c r="B154" t="s">
        <v>11</v>
      </c>
      <c r="C154" t="s">
        <v>31</v>
      </c>
      <c r="D154" t="s">
        <v>27</v>
      </c>
      <c r="E154" t="s">
        <v>24</v>
      </c>
      <c r="F154" t="s">
        <v>15</v>
      </c>
      <c r="G154" s="7">
        <v>45077</v>
      </c>
      <c r="H154">
        <v>173</v>
      </c>
      <c r="I154">
        <v>385.42</v>
      </c>
      <c r="J154">
        <v>396.65</v>
      </c>
      <c r="K154">
        <v>66677.66</v>
      </c>
      <c r="M154">
        <f t="shared" si="4"/>
        <v>66677.66</v>
      </c>
      <c r="N154" s="11" t="str">
        <f t="shared" si="5"/>
        <v>True</v>
      </c>
    </row>
    <row r="155" spans="1:14" x14ac:dyDescent="0.45">
      <c r="A155" t="s">
        <v>180</v>
      </c>
      <c r="B155" t="s">
        <v>11</v>
      </c>
      <c r="C155" t="s">
        <v>12</v>
      </c>
      <c r="D155" t="s">
        <v>27</v>
      </c>
      <c r="E155" t="s">
        <v>14</v>
      </c>
      <c r="F155" t="s">
        <v>15</v>
      </c>
      <c r="G155" s="7">
        <v>45078</v>
      </c>
      <c r="H155">
        <v>260</v>
      </c>
      <c r="I155">
        <v>60.99</v>
      </c>
      <c r="J155">
        <v>388.36</v>
      </c>
      <c r="K155">
        <v>15857.4</v>
      </c>
      <c r="M155">
        <f t="shared" si="4"/>
        <v>15857.4</v>
      </c>
      <c r="N155" s="11" t="str">
        <f t="shared" si="5"/>
        <v>True</v>
      </c>
    </row>
    <row r="156" spans="1:14" x14ac:dyDescent="0.45">
      <c r="A156" t="s">
        <v>181</v>
      </c>
      <c r="B156" t="s">
        <v>22</v>
      </c>
      <c r="C156" t="s">
        <v>50</v>
      </c>
      <c r="D156" t="s">
        <v>27</v>
      </c>
      <c r="E156" t="s">
        <v>24</v>
      </c>
      <c r="F156" t="s">
        <v>15</v>
      </c>
      <c r="G156" s="7">
        <v>45079</v>
      </c>
      <c r="H156">
        <v>236</v>
      </c>
      <c r="I156">
        <v>398.78</v>
      </c>
      <c r="J156">
        <v>377.04</v>
      </c>
      <c r="K156">
        <v>94112.079999999987</v>
      </c>
      <c r="M156">
        <f t="shared" si="4"/>
        <v>94112.079999999987</v>
      </c>
      <c r="N156" s="11" t="str">
        <f t="shared" si="5"/>
        <v>True</v>
      </c>
    </row>
    <row r="157" spans="1:14" x14ac:dyDescent="0.45">
      <c r="A157" t="s">
        <v>182</v>
      </c>
      <c r="B157" t="s">
        <v>11</v>
      </c>
      <c r="C157" t="s">
        <v>26</v>
      </c>
      <c r="D157" t="s">
        <v>23</v>
      </c>
      <c r="E157" t="s">
        <v>14</v>
      </c>
      <c r="F157" t="s">
        <v>28</v>
      </c>
      <c r="G157" s="7">
        <v>45080</v>
      </c>
      <c r="H157">
        <v>445</v>
      </c>
      <c r="I157">
        <v>459.75</v>
      </c>
      <c r="J157">
        <v>313.97000000000003</v>
      </c>
      <c r="K157">
        <v>204588.75</v>
      </c>
      <c r="M157">
        <f t="shared" si="4"/>
        <v>204588.75</v>
      </c>
      <c r="N157" s="11" t="str">
        <f t="shared" si="5"/>
        <v>True</v>
      </c>
    </row>
    <row r="158" spans="1:14" x14ac:dyDescent="0.45">
      <c r="A158" t="s">
        <v>183</v>
      </c>
      <c r="B158" t="s">
        <v>22</v>
      </c>
      <c r="C158" t="s">
        <v>12</v>
      </c>
      <c r="D158" t="s">
        <v>23</v>
      </c>
      <c r="E158" t="s">
        <v>24</v>
      </c>
      <c r="F158" t="s">
        <v>15</v>
      </c>
      <c r="G158" s="7">
        <v>45081</v>
      </c>
      <c r="H158">
        <v>390</v>
      </c>
      <c r="I158">
        <v>302.3</v>
      </c>
      <c r="J158">
        <v>143.22999999999999</v>
      </c>
      <c r="K158">
        <v>117897</v>
      </c>
      <c r="M158">
        <f t="shared" si="4"/>
        <v>117897</v>
      </c>
      <c r="N158" s="11" t="str">
        <f t="shared" si="5"/>
        <v>True</v>
      </c>
    </row>
    <row r="159" spans="1:14" x14ac:dyDescent="0.45">
      <c r="A159" t="s">
        <v>184</v>
      </c>
      <c r="B159" t="s">
        <v>48</v>
      </c>
      <c r="C159" t="s">
        <v>26</v>
      </c>
      <c r="D159" t="s">
        <v>27</v>
      </c>
      <c r="E159" t="s">
        <v>14</v>
      </c>
      <c r="F159" t="s">
        <v>20</v>
      </c>
      <c r="G159" s="7">
        <v>45082</v>
      </c>
      <c r="H159">
        <v>469</v>
      </c>
      <c r="I159">
        <v>470.73</v>
      </c>
      <c r="J159">
        <v>166.03</v>
      </c>
      <c r="K159">
        <v>220772.37</v>
      </c>
      <c r="M159">
        <f t="shared" si="4"/>
        <v>220772.37</v>
      </c>
      <c r="N159" s="11" t="str">
        <f t="shared" si="5"/>
        <v>True</v>
      </c>
    </row>
    <row r="160" spans="1:14" x14ac:dyDescent="0.45">
      <c r="A160" t="s">
        <v>185</v>
      </c>
      <c r="B160" t="s">
        <v>11</v>
      </c>
      <c r="C160" t="s">
        <v>31</v>
      </c>
      <c r="D160" t="s">
        <v>19</v>
      </c>
      <c r="E160" t="s">
        <v>14</v>
      </c>
      <c r="F160" t="s">
        <v>15</v>
      </c>
      <c r="G160" s="7">
        <v>45083</v>
      </c>
      <c r="H160">
        <v>16</v>
      </c>
      <c r="I160">
        <v>255.39500000000001</v>
      </c>
      <c r="J160">
        <v>220.75</v>
      </c>
      <c r="K160">
        <v>4086.32</v>
      </c>
      <c r="M160">
        <f t="shared" si="4"/>
        <v>4086.32</v>
      </c>
      <c r="N160" s="11" t="str">
        <f t="shared" si="5"/>
        <v>True</v>
      </c>
    </row>
    <row r="161" spans="1:14" x14ac:dyDescent="0.45">
      <c r="A161" t="s">
        <v>186</v>
      </c>
      <c r="B161" t="s">
        <v>48</v>
      </c>
      <c r="C161" t="s">
        <v>18</v>
      </c>
      <c r="D161" t="s">
        <v>42</v>
      </c>
      <c r="E161" t="s">
        <v>24</v>
      </c>
      <c r="F161" t="s">
        <v>20</v>
      </c>
      <c r="G161" s="7">
        <v>45084</v>
      </c>
      <c r="H161">
        <v>38</v>
      </c>
      <c r="I161">
        <v>335.15</v>
      </c>
      <c r="J161">
        <v>332.55</v>
      </c>
      <c r="K161">
        <v>12735.7</v>
      </c>
      <c r="M161">
        <f t="shared" si="4"/>
        <v>12735.699999999999</v>
      </c>
      <c r="N161" s="11" t="str">
        <f t="shared" si="5"/>
        <v>True</v>
      </c>
    </row>
    <row r="162" spans="1:14" x14ac:dyDescent="0.45">
      <c r="A162" t="s">
        <v>187</v>
      </c>
      <c r="B162" t="s">
        <v>22</v>
      </c>
      <c r="C162" t="s">
        <v>31</v>
      </c>
      <c r="D162" t="s">
        <v>13</v>
      </c>
      <c r="E162" t="s">
        <v>24</v>
      </c>
      <c r="F162" t="s">
        <v>28</v>
      </c>
      <c r="G162" s="7">
        <v>45085</v>
      </c>
      <c r="H162">
        <v>404</v>
      </c>
      <c r="I162">
        <v>290.70999999999998</v>
      </c>
      <c r="J162">
        <v>29.35</v>
      </c>
      <c r="K162">
        <v>117446.84</v>
      </c>
      <c r="M162">
        <f t="shared" si="4"/>
        <v>117446.84</v>
      </c>
      <c r="N162" s="11" t="str">
        <f t="shared" si="5"/>
        <v>True</v>
      </c>
    </row>
    <row r="163" spans="1:14" x14ac:dyDescent="0.45">
      <c r="A163" t="s">
        <v>188</v>
      </c>
      <c r="B163" t="s">
        <v>17</v>
      </c>
      <c r="C163" t="s">
        <v>12</v>
      </c>
      <c r="D163" t="s">
        <v>19</v>
      </c>
      <c r="E163" t="s">
        <v>14</v>
      </c>
      <c r="F163" t="s">
        <v>20</v>
      </c>
      <c r="G163" s="7">
        <v>45086</v>
      </c>
      <c r="H163">
        <v>42</v>
      </c>
      <c r="I163">
        <v>177.54</v>
      </c>
      <c r="J163">
        <v>170.87</v>
      </c>
      <c r="K163">
        <v>7456.6799999999994</v>
      </c>
      <c r="M163">
        <f t="shared" si="4"/>
        <v>7456.6799999999994</v>
      </c>
      <c r="N163" s="11" t="str">
        <f t="shared" si="5"/>
        <v>True</v>
      </c>
    </row>
    <row r="164" spans="1:14" x14ac:dyDescent="0.45">
      <c r="A164" t="s">
        <v>189</v>
      </c>
      <c r="B164" t="s">
        <v>11</v>
      </c>
      <c r="C164" t="s">
        <v>26</v>
      </c>
      <c r="D164" t="s">
        <v>27</v>
      </c>
      <c r="E164" t="s">
        <v>24</v>
      </c>
      <c r="F164" t="s">
        <v>20</v>
      </c>
      <c r="G164" s="7">
        <v>45087</v>
      </c>
      <c r="H164">
        <v>143</v>
      </c>
      <c r="I164">
        <v>83.85</v>
      </c>
      <c r="J164">
        <v>34.880000000000003</v>
      </c>
      <c r="K164">
        <v>11990.55</v>
      </c>
      <c r="M164">
        <f t="shared" si="4"/>
        <v>11990.55</v>
      </c>
      <c r="N164" s="11" t="str">
        <f t="shared" si="5"/>
        <v>True</v>
      </c>
    </row>
    <row r="165" spans="1:14" x14ac:dyDescent="0.45">
      <c r="A165" t="s">
        <v>190</v>
      </c>
      <c r="B165" t="s">
        <v>22</v>
      </c>
      <c r="C165" t="s">
        <v>26</v>
      </c>
      <c r="D165" t="s">
        <v>23</v>
      </c>
      <c r="E165" t="s">
        <v>14</v>
      </c>
      <c r="F165" t="s">
        <v>15</v>
      </c>
      <c r="G165" s="7">
        <v>45088</v>
      </c>
      <c r="H165">
        <v>376</v>
      </c>
      <c r="I165">
        <v>304.45</v>
      </c>
      <c r="J165">
        <v>206.83</v>
      </c>
      <c r="K165">
        <v>114473.2</v>
      </c>
      <c r="M165">
        <f t="shared" si="4"/>
        <v>114473.2</v>
      </c>
      <c r="N165" s="11" t="str">
        <f t="shared" si="5"/>
        <v>True</v>
      </c>
    </row>
    <row r="166" spans="1:14" x14ac:dyDescent="0.45">
      <c r="A166" t="s">
        <v>191</v>
      </c>
      <c r="B166" t="s">
        <v>17</v>
      </c>
      <c r="C166" t="s">
        <v>50</v>
      </c>
      <c r="D166" t="s">
        <v>42</v>
      </c>
      <c r="E166" t="s">
        <v>14</v>
      </c>
      <c r="F166" t="s">
        <v>15</v>
      </c>
      <c r="G166" s="7">
        <v>45089</v>
      </c>
      <c r="H166">
        <v>88</v>
      </c>
      <c r="I166">
        <v>162.47</v>
      </c>
      <c r="J166">
        <v>359.76</v>
      </c>
      <c r="K166">
        <v>14297.36</v>
      </c>
      <c r="M166">
        <f t="shared" si="4"/>
        <v>14297.36</v>
      </c>
      <c r="N166" s="11" t="str">
        <f t="shared" si="5"/>
        <v>True</v>
      </c>
    </row>
    <row r="167" spans="1:14" x14ac:dyDescent="0.45">
      <c r="A167" t="s">
        <v>192</v>
      </c>
      <c r="B167" t="s">
        <v>17</v>
      </c>
      <c r="C167" t="s">
        <v>26</v>
      </c>
      <c r="D167" t="s">
        <v>13</v>
      </c>
      <c r="E167" t="s">
        <v>14</v>
      </c>
      <c r="F167" t="s">
        <v>20</v>
      </c>
      <c r="G167" s="7">
        <v>45090</v>
      </c>
      <c r="H167">
        <v>425</v>
      </c>
      <c r="I167">
        <v>433.89</v>
      </c>
      <c r="J167">
        <v>313.43</v>
      </c>
      <c r="K167">
        <v>184403.25</v>
      </c>
      <c r="M167">
        <f t="shared" si="4"/>
        <v>184403.25</v>
      </c>
      <c r="N167" s="11" t="str">
        <f t="shared" si="5"/>
        <v>True</v>
      </c>
    </row>
    <row r="168" spans="1:14" x14ac:dyDescent="0.45">
      <c r="A168" t="s">
        <v>193</v>
      </c>
      <c r="B168" t="s">
        <v>48</v>
      </c>
      <c r="C168" t="s">
        <v>50</v>
      </c>
      <c r="D168" t="s">
        <v>13</v>
      </c>
      <c r="E168" t="s">
        <v>24</v>
      </c>
      <c r="F168" t="s">
        <v>15</v>
      </c>
      <c r="G168" s="7">
        <v>45091</v>
      </c>
      <c r="H168">
        <v>444</v>
      </c>
      <c r="I168">
        <v>496.7</v>
      </c>
      <c r="J168">
        <v>92.68</v>
      </c>
      <c r="K168">
        <v>220534.8</v>
      </c>
      <c r="M168">
        <f t="shared" si="4"/>
        <v>220534.8</v>
      </c>
      <c r="N168" s="11" t="str">
        <f t="shared" si="5"/>
        <v>True</v>
      </c>
    </row>
    <row r="169" spans="1:14" x14ac:dyDescent="0.45">
      <c r="A169" t="s">
        <v>194</v>
      </c>
      <c r="B169" t="s">
        <v>22</v>
      </c>
      <c r="C169" t="s">
        <v>18</v>
      </c>
      <c r="D169" t="s">
        <v>19</v>
      </c>
      <c r="E169" t="s">
        <v>14</v>
      </c>
      <c r="F169" t="s">
        <v>28</v>
      </c>
      <c r="G169" s="7">
        <v>45092</v>
      </c>
      <c r="H169">
        <v>468</v>
      </c>
      <c r="I169">
        <v>377.45</v>
      </c>
      <c r="J169">
        <v>390.44</v>
      </c>
      <c r="K169">
        <v>176646.6</v>
      </c>
      <c r="M169">
        <f t="shared" si="4"/>
        <v>176646.6</v>
      </c>
      <c r="N169" s="11" t="str">
        <f t="shared" si="5"/>
        <v>True</v>
      </c>
    </row>
    <row r="170" spans="1:14" x14ac:dyDescent="0.45">
      <c r="A170" t="s">
        <v>195</v>
      </c>
      <c r="B170" t="s">
        <v>17</v>
      </c>
      <c r="C170" t="s">
        <v>12</v>
      </c>
      <c r="D170" t="s">
        <v>27</v>
      </c>
      <c r="E170" t="s">
        <v>14</v>
      </c>
      <c r="F170" t="s">
        <v>28</v>
      </c>
      <c r="G170" s="7">
        <v>45093</v>
      </c>
      <c r="H170">
        <v>67</v>
      </c>
      <c r="I170">
        <v>49.79</v>
      </c>
      <c r="J170">
        <v>267.61</v>
      </c>
      <c r="K170">
        <v>3335.93</v>
      </c>
      <c r="M170">
        <f t="shared" si="4"/>
        <v>3335.93</v>
      </c>
      <c r="N170" s="11" t="str">
        <f t="shared" si="5"/>
        <v>True</v>
      </c>
    </row>
    <row r="171" spans="1:14" x14ac:dyDescent="0.45">
      <c r="A171" t="s">
        <v>196</v>
      </c>
      <c r="B171" t="s">
        <v>11</v>
      </c>
      <c r="C171" t="s">
        <v>50</v>
      </c>
      <c r="D171" t="s">
        <v>42</v>
      </c>
      <c r="E171" t="s">
        <v>24</v>
      </c>
      <c r="F171" t="s">
        <v>15</v>
      </c>
      <c r="G171" s="7">
        <v>45094</v>
      </c>
      <c r="H171">
        <v>480</v>
      </c>
      <c r="I171">
        <v>147.9</v>
      </c>
      <c r="J171">
        <v>6.15</v>
      </c>
      <c r="K171">
        <v>70992</v>
      </c>
      <c r="M171">
        <f t="shared" si="4"/>
        <v>70992</v>
      </c>
      <c r="N171" s="11" t="str">
        <f t="shared" si="5"/>
        <v>True</v>
      </c>
    </row>
    <row r="172" spans="1:14" x14ac:dyDescent="0.45">
      <c r="A172" t="s">
        <v>197</v>
      </c>
      <c r="B172" t="s">
        <v>11</v>
      </c>
      <c r="C172" t="s">
        <v>18</v>
      </c>
      <c r="D172" t="s">
        <v>27</v>
      </c>
      <c r="E172" t="s">
        <v>24</v>
      </c>
      <c r="F172" t="s">
        <v>28</v>
      </c>
      <c r="G172" s="7">
        <v>45095</v>
      </c>
      <c r="H172">
        <v>35</v>
      </c>
      <c r="I172">
        <v>59.01</v>
      </c>
      <c r="J172">
        <v>103.65</v>
      </c>
      <c r="K172">
        <v>2065.35</v>
      </c>
      <c r="M172">
        <f t="shared" si="4"/>
        <v>2065.35</v>
      </c>
      <c r="N172" s="11" t="str">
        <f t="shared" si="5"/>
        <v>True</v>
      </c>
    </row>
    <row r="173" spans="1:14" x14ac:dyDescent="0.45">
      <c r="A173" t="s">
        <v>198</v>
      </c>
      <c r="B173" t="s">
        <v>48</v>
      </c>
      <c r="C173" t="s">
        <v>26</v>
      </c>
      <c r="D173" t="s">
        <v>42</v>
      </c>
      <c r="E173" t="s">
        <v>24</v>
      </c>
      <c r="F173" t="s">
        <v>15</v>
      </c>
      <c r="G173" s="7">
        <v>45096</v>
      </c>
      <c r="H173">
        <v>491</v>
      </c>
      <c r="I173">
        <v>327</v>
      </c>
      <c r="J173">
        <v>105.76</v>
      </c>
      <c r="K173">
        <v>160557</v>
      </c>
      <c r="M173">
        <f t="shared" si="4"/>
        <v>160557</v>
      </c>
      <c r="N173" s="11" t="str">
        <f t="shared" si="5"/>
        <v>True</v>
      </c>
    </row>
    <row r="174" spans="1:14" x14ac:dyDescent="0.45">
      <c r="A174" t="s">
        <v>199</v>
      </c>
      <c r="B174" t="s">
        <v>17</v>
      </c>
      <c r="C174" t="s">
        <v>26</v>
      </c>
      <c r="D174" t="s">
        <v>19</v>
      </c>
      <c r="E174" t="s">
        <v>24</v>
      </c>
      <c r="F174" t="s">
        <v>20</v>
      </c>
      <c r="G174" s="7">
        <v>45097</v>
      </c>
      <c r="H174">
        <v>439</v>
      </c>
      <c r="I174">
        <v>383.77</v>
      </c>
      <c r="J174">
        <v>29.56</v>
      </c>
      <c r="K174">
        <v>168475.03</v>
      </c>
      <c r="M174">
        <f t="shared" si="4"/>
        <v>168475.03</v>
      </c>
      <c r="N174" s="11" t="str">
        <f t="shared" si="5"/>
        <v>True</v>
      </c>
    </row>
    <row r="175" spans="1:14" x14ac:dyDescent="0.45">
      <c r="A175" t="s">
        <v>200</v>
      </c>
      <c r="B175" t="s">
        <v>22</v>
      </c>
      <c r="C175" t="s">
        <v>18</v>
      </c>
      <c r="D175" t="s">
        <v>19</v>
      </c>
      <c r="E175" t="s">
        <v>14</v>
      </c>
      <c r="F175" t="s">
        <v>20</v>
      </c>
      <c r="G175" s="7">
        <v>45098</v>
      </c>
      <c r="H175">
        <v>235</v>
      </c>
      <c r="I175">
        <v>463.21</v>
      </c>
      <c r="J175">
        <v>384.01</v>
      </c>
      <c r="K175">
        <v>108854.35</v>
      </c>
      <c r="M175">
        <f t="shared" si="4"/>
        <v>108854.34999999999</v>
      </c>
      <c r="N175" s="11" t="str">
        <f t="shared" si="5"/>
        <v>True</v>
      </c>
    </row>
    <row r="176" spans="1:14" x14ac:dyDescent="0.45">
      <c r="A176" t="s">
        <v>201</v>
      </c>
      <c r="B176" t="s">
        <v>11</v>
      </c>
      <c r="C176" t="s">
        <v>26</v>
      </c>
      <c r="D176" t="s">
        <v>13</v>
      </c>
      <c r="E176" t="s">
        <v>14</v>
      </c>
      <c r="F176" t="s">
        <v>28</v>
      </c>
      <c r="G176" s="7">
        <v>45099</v>
      </c>
      <c r="H176">
        <v>294</v>
      </c>
      <c r="I176">
        <v>221.9</v>
      </c>
      <c r="J176">
        <v>192.35</v>
      </c>
      <c r="K176">
        <v>65238.6</v>
      </c>
      <c r="M176">
        <f t="shared" si="4"/>
        <v>65238.6</v>
      </c>
      <c r="N176" s="11" t="str">
        <f t="shared" si="5"/>
        <v>True</v>
      </c>
    </row>
    <row r="177" spans="1:14" x14ac:dyDescent="0.45">
      <c r="A177" t="s">
        <v>202</v>
      </c>
      <c r="B177" t="s">
        <v>17</v>
      </c>
      <c r="C177" t="s">
        <v>18</v>
      </c>
      <c r="D177" t="s">
        <v>27</v>
      </c>
      <c r="E177" t="s">
        <v>14</v>
      </c>
      <c r="F177" t="s">
        <v>15</v>
      </c>
      <c r="G177" s="7">
        <v>45100</v>
      </c>
      <c r="H177">
        <v>13</v>
      </c>
      <c r="I177">
        <v>451.18</v>
      </c>
      <c r="J177">
        <v>358.53</v>
      </c>
      <c r="K177">
        <v>5865.34</v>
      </c>
      <c r="M177">
        <f t="shared" si="4"/>
        <v>5865.34</v>
      </c>
      <c r="N177" s="11" t="str">
        <f t="shared" si="5"/>
        <v>True</v>
      </c>
    </row>
    <row r="178" spans="1:14" x14ac:dyDescent="0.45">
      <c r="A178" t="s">
        <v>203</v>
      </c>
      <c r="B178" t="s">
        <v>17</v>
      </c>
      <c r="C178" t="s">
        <v>50</v>
      </c>
      <c r="D178" t="s">
        <v>13</v>
      </c>
      <c r="E178" t="s">
        <v>14</v>
      </c>
      <c r="F178" t="s">
        <v>15</v>
      </c>
      <c r="G178" s="7">
        <v>45101</v>
      </c>
      <c r="H178">
        <v>474</v>
      </c>
      <c r="I178">
        <v>439.56</v>
      </c>
      <c r="J178">
        <v>130.24</v>
      </c>
      <c r="K178">
        <v>208351.44</v>
      </c>
      <c r="M178">
        <f t="shared" si="4"/>
        <v>208351.44</v>
      </c>
      <c r="N178" s="11" t="str">
        <f t="shared" si="5"/>
        <v>True</v>
      </c>
    </row>
    <row r="179" spans="1:14" x14ac:dyDescent="0.45">
      <c r="A179" t="s">
        <v>204</v>
      </c>
      <c r="B179" t="s">
        <v>48</v>
      </c>
      <c r="C179" t="s">
        <v>50</v>
      </c>
      <c r="D179" t="s">
        <v>27</v>
      </c>
      <c r="E179" t="s">
        <v>24</v>
      </c>
      <c r="F179" t="s">
        <v>28</v>
      </c>
      <c r="G179" s="7">
        <v>45102</v>
      </c>
      <c r="H179">
        <v>108</v>
      </c>
      <c r="I179">
        <v>162.01</v>
      </c>
      <c r="J179">
        <v>51.84</v>
      </c>
      <c r="K179">
        <v>17497.080000000002</v>
      </c>
      <c r="M179">
        <f t="shared" si="4"/>
        <v>17497.079999999998</v>
      </c>
      <c r="N179" s="11" t="str">
        <f t="shared" si="5"/>
        <v>True</v>
      </c>
    </row>
    <row r="180" spans="1:14" x14ac:dyDescent="0.45">
      <c r="A180" t="s">
        <v>205</v>
      </c>
      <c r="B180" t="s">
        <v>11</v>
      </c>
      <c r="C180" t="s">
        <v>18</v>
      </c>
      <c r="D180" t="s">
        <v>13</v>
      </c>
      <c r="E180" t="s">
        <v>14</v>
      </c>
      <c r="F180" t="s">
        <v>20</v>
      </c>
      <c r="G180" s="7">
        <v>45103</v>
      </c>
      <c r="H180">
        <v>406</v>
      </c>
      <c r="I180">
        <v>435.11</v>
      </c>
      <c r="J180">
        <v>190.79</v>
      </c>
      <c r="K180">
        <v>176654.66</v>
      </c>
      <c r="M180">
        <f t="shared" si="4"/>
        <v>176654.66</v>
      </c>
      <c r="N180" s="11" t="str">
        <f t="shared" si="5"/>
        <v>True</v>
      </c>
    </row>
    <row r="181" spans="1:14" x14ac:dyDescent="0.45">
      <c r="A181" t="s">
        <v>206</v>
      </c>
      <c r="B181" t="s">
        <v>11</v>
      </c>
      <c r="C181" t="s">
        <v>50</v>
      </c>
      <c r="D181" t="s">
        <v>23</v>
      </c>
      <c r="E181" t="s">
        <v>14</v>
      </c>
      <c r="F181" t="s">
        <v>28</v>
      </c>
      <c r="G181" s="7">
        <v>45104</v>
      </c>
      <c r="H181">
        <v>498</v>
      </c>
      <c r="I181">
        <v>190.96</v>
      </c>
      <c r="J181">
        <v>47.35</v>
      </c>
      <c r="K181">
        <v>95098.08</v>
      </c>
      <c r="M181">
        <f t="shared" si="4"/>
        <v>95098.08</v>
      </c>
      <c r="N181" s="11" t="str">
        <f t="shared" si="5"/>
        <v>True</v>
      </c>
    </row>
    <row r="182" spans="1:14" x14ac:dyDescent="0.45">
      <c r="A182" t="s">
        <v>207</v>
      </c>
      <c r="B182" t="s">
        <v>22</v>
      </c>
      <c r="C182" t="s">
        <v>50</v>
      </c>
      <c r="D182" t="s">
        <v>23</v>
      </c>
      <c r="E182" t="s">
        <v>24</v>
      </c>
      <c r="F182" t="s">
        <v>20</v>
      </c>
      <c r="G182" s="7">
        <v>45105</v>
      </c>
      <c r="H182">
        <v>48</v>
      </c>
      <c r="I182">
        <v>151.94999999999999</v>
      </c>
      <c r="J182">
        <v>195.43</v>
      </c>
      <c r="K182">
        <v>7293.5999999999995</v>
      </c>
      <c r="M182">
        <f t="shared" si="4"/>
        <v>7293.5999999999995</v>
      </c>
      <c r="N182" s="11" t="str">
        <f t="shared" si="5"/>
        <v>True</v>
      </c>
    </row>
    <row r="183" spans="1:14" x14ac:dyDescent="0.45">
      <c r="A183" t="s">
        <v>208</v>
      </c>
      <c r="B183" t="s">
        <v>11</v>
      </c>
      <c r="C183" t="s">
        <v>50</v>
      </c>
      <c r="D183" t="s">
        <v>23</v>
      </c>
      <c r="E183" t="s">
        <v>14</v>
      </c>
      <c r="F183" t="s">
        <v>15</v>
      </c>
      <c r="G183" s="7">
        <v>45106</v>
      </c>
      <c r="H183">
        <v>280</v>
      </c>
      <c r="I183">
        <v>326.29000000000002</v>
      </c>
      <c r="J183">
        <v>368.28</v>
      </c>
      <c r="K183">
        <v>91361.200000000012</v>
      </c>
      <c r="M183">
        <f t="shared" si="4"/>
        <v>91361.200000000012</v>
      </c>
      <c r="N183" s="11" t="str">
        <f t="shared" si="5"/>
        <v>True</v>
      </c>
    </row>
    <row r="184" spans="1:14" x14ac:dyDescent="0.45">
      <c r="A184" t="s">
        <v>209</v>
      </c>
      <c r="B184" t="s">
        <v>22</v>
      </c>
      <c r="C184" t="s">
        <v>31</v>
      </c>
      <c r="D184" t="s">
        <v>23</v>
      </c>
      <c r="E184" t="s">
        <v>14</v>
      </c>
      <c r="F184" t="s">
        <v>20</v>
      </c>
      <c r="G184" s="7">
        <v>45107</v>
      </c>
      <c r="H184">
        <v>384</v>
      </c>
      <c r="I184">
        <v>167.55</v>
      </c>
      <c r="J184">
        <v>209.27</v>
      </c>
      <c r="K184">
        <v>64339.199999999997</v>
      </c>
      <c r="M184">
        <f t="shared" si="4"/>
        <v>64339.200000000004</v>
      </c>
      <c r="N184" s="11" t="str">
        <f t="shared" si="5"/>
        <v>True</v>
      </c>
    </row>
    <row r="185" spans="1:14" x14ac:dyDescent="0.45">
      <c r="A185" t="s">
        <v>210</v>
      </c>
      <c r="B185" t="s">
        <v>11</v>
      </c>
      <c r="C185" t="s">
        <v>12</v>
      </c>
      <c r="D185" t="s">
        <v>42</v>
      </c>
      <c r="E185" t="s">
        <v>14</v>
      </c>
      <c r="F185" t="s">
        <v>28</v>
      </c>
      <c r="G185" s="7">
        <v>45108</v>
      </c>
      <c r="H185">
        <v>294</v>
      </c>
      <c r="I185">
        <v>316.95</v>
      </c>
      <c r="J185">
        <v>247.37</v>
      </c>
      <c r="K185">
        <v>93183.3</v>
      </c>
      <c r="M185">
        <f t="shared" si="4"/>
        <v>93183.3</v>
      </c>
      <c r="N185" s="11" t="str">
        <f t="shared" si="5"/>
        <v>True</v>
      </c>
    </row>
    <row r="186" spans="1:14" x14ac:dyDescent="0.45">
      <c r="A186" t="s">
        <v>211</v>
      </c>
      <c r="B186" t="s">
        <v>48</v>
      </c>
      <c r="C186" t="s">
        <v>26</v>
      </c>
      <c r="D186" t="s">
        <v>23</v>
      </c>
      <c r="E186" t="s">
        <v>14</v>
      </c>
      <c r="F186" t="s">
        <v>15</v>
      </c>
      <c r="G186" s="7">
        <v>45109</v>
      </c>
      <c r="H186">
        <v>166</v>
      </c>
      <c r="I186">
        <v>306.87</v>
      </c>
      <c r="J186">
        <v>64.34</v>
      </c>
      <c r="K186">
        <v>50940.42</v>
      </c>
      <c r="M186">
        <f t="shared" si="4"/>
        <v>50940.42</v>
      </c>
      <c r="N186" s="11" t="str">
        <f t="shared" si="5"/>
        <v>True</v>
      </c>
    </row>
    <row r="187" spans="1:14" x14ac:dyDescent="0.45">
      <c r="A187" t="s">
        <v>212</v>
      </c>
      <c r="B187" t="s">
        <v>11</v>
      </c>
      <c r="C187" t="s">
        <v>31</v>
      </c>
      <c r="D187" t="s">
        <v>19</v>
      </c>
      <c r="E187" t="s">
        <v>14</v>
      </c>
      <c r="F187" t="s">
        <v>28</v>
      </c>
      <c r="G187" s="7">
        <v>45110</v>
      </c>
      <c r="H187">
        <v>84</v>
      </c>
      <c r="I187">
        <v>283.89999999999998</v>
      </c>
      <c r="J187">
        <v>19.41</v>
      </c>
      <c r="K187">
        <v>23847.599999999999</v>
      </c>
      <c r="M187">
        <f t="shared" si="4"/>
        <v>23847.599999999999</v>
      </c>
      <c r="N187" s="11" t="str">
        <f t="shared" si="5"/>
        <v>True</v>
      </c>
    </row>
    <row r="188" spans="1:14" x14ac:dyDescent="0.45">
      <c r="A188" t="s">
        <v>213</v>
      </c>
      <c r="B188" t="s">
        <v>22</v>
      </c>
      <c r="C188" t="s">
        <v>50</v>
      </c>
      <c r="D188" t="s">
        <v>19</v>
      </c>
      <c r="E188" t="s">
        <v>14</v>
      </c>
      <c r="F188" t="s">
        <v>28</v>
      </c>
      <c r="G188" s="7">
        <v>45111</v>
      </c>
      <c r="H188">
        <v>381</v>
      </c>
      <c r="I188">
        <v>193.31</v>
      </c>
      <c r="J188">
        <v>46.1</v>
      </c>
      <c r="K188">
        <v>73651.11</v>
      </c>
      <c r="M188">
        <f t="shared" si="4"/>
        <v>73651.11</v>
      </c>
      <c r="N188" s="11" t="str">
        <f t="shared" si="5"/>
        <v>True</v>
      </c>
    </row>
    <row r="189" spans="1:14" x14ac:dyDescent="0.45">
      <c r="A189" t="s">
        <v>214</v>
      </c>
      <c r="B189" t="s">
        <v>22</v>
      </c>
      <c r="C189" t="s">
        <v>18</v>
      </c>
      <c r="D189" t="s">
        <v>42</v>
      </c>
      <c r="E189" t="s">
        <v>24</v>
      </c>
      <c r="F189" t="s">
        <v>20</v>
      </c>
      <c r="G189" s="7">
        <v>45112</v>
      </c>
      <c r="H189">
        <v>297</v>
      </c>
      <c r="I189">
        <v>276.51</v>
      </c>
      <c r="J189">
        <v>240.22</v>
      </c>
      <c r="K189">
        <v>82123.47</v>
      </c>
      <c r="M189">
        <f t="shared" si="4"/>
        <v>82123.47</v>
      </c>
      <c r="N189" s="11" t="str">
        <f t="shared" si="5"/>
        <v>True</v>
      </c>
    </row>
    <row r="190" spans="1:14" x14ac:dyDescent="0.45">
      <c r="A190" t="s">
        <v>215</v>
      </c>
      <c r="B190" t="s">
        <v>48</v>
      </c>
      <c r="C190" t="s">
        <v>50</v>
      </c>
      <c r="D190" t="s">
        <v>23</v>
      </c>
      <c r="E190" t="s">
        <v>24</v>
      </c>
      <c r="F190" t="s">
        <v>28</v>
      </c>
      <c r="G190" s="7">
        <v>45113</v>
      </c>
      <c r="H190">
        <v>139</v>
      </c>
      <c r="I190">
        <v>300.26</v>
      </c>
      <c r="J190">
        <v>39.81</v>
      </c>
      <c r="K190">
        <v>41736.14</v>
      </c>
      <c r="M190">
        <f t="shared" si="4"/>
        <v>41736.14</v>
      </c>
      <c r="N190" s="11" t="str">
        <f t="shared" si="5"/>
        <v>True</v>
      </c>
    </row>
    <row r="191" spans="1:14" x14ac:dyDescent="0.45">
      <c r="A191" t="s">
        <v>216</v>
      </c>
      <c r="B191" t="s">
        <v>11</v>
      </c>
      <c r="C191" t="s">
        <v>12</v>
      </c>
      <c r="D191" t="s">
        <v>23</v>
      </c>
      <c r="E191" t="s">
        <v>14</v>
      </c>
      <c r="F191" t="s">
        <v>20</v>
      </c>
      <c r="G191" s="7">
        <v>45114</v>
      </c>
      <c r="H191">
        <v>184</v>
      </c>
      <c r="I191">
        <v>275.12</v>
      </c>
      <c r="J191">
        <v>151.65</v>
      </c>
      <c r="K191">
        <v>50622.080000000002</v>
      </c>
      <c r="M191">
        <f t="shared" si="4"/>
        <v>50622.080000000002</v>
      </c>
      <c r="N191" s="11" t="str">
        <f t="shared" si="5"/>
        <v>True</v>
      </c>
    </row>
    <row r="192" spans="1:14" x14ac:dyDescent="0.45">
      <c r="A192" t="s">
        <v>217</v>
      </c>
      <c r="B192" t="s">
        <v>11</v>
      </c>
      <c r="C192" t="s">
        <v>50</v>
      </c>
      <c r="D192" t="s">
        <v>23</v>
      </c>
      <c r="E192" t="s">
        <v>14</v>
      </c>
      <c r="F192" t="s">
        <v>15</v>
      </c>
      <c r="G192" s="7">
        <v>45115</v>
      </c>
      <c r="H192">
        <v>471</v>
      </c>
      <c r="I192">
        <v>224.99</v>
      </c>
      <c r="J192">
        <v>220.94</v>
      </c>
      <c r="K192">
        <v>105970.29</v>
      </c>
      <c r="M192">
        <f t="shared" si="4"/>
        <v>105970.29000000001</v>
      </c>
      <c r="N192" s="11" t="str">
        <f t="shared" si="5"/>
        <v>True</v>
      </c>
    </row>
    <row r="193" spans="1:14" x14ac:dyDescent="0.45">
      <c r="A193" t="s">
        <v>218</v>
      </c>
      <c r="B193" t="s">
        <v>48</v>
      </c>
      <c r="C193" t="s">
        <v>18</v>
      </c>
      <c r="D193" t="s">
        <v>13</v>
      </c>
      <c r="E193" t="s">
        <v>24</v>
      </c>
      <c r="F193" t="s">
        <v>20</v>
      </c>
      <c r="G193" s="7">
        <v>45116</v>
      </c>
      <c r="H193">
        <v>93</v>
      </c>
      <c r="I193">
        <v>12.26</v>
      </c>
      <c r="J193">
        <v>156.68</v>
      </c>
      <c r="K193">
        <v>1140.18</v>
      </c>
      <c r="M193">
        <f t="shared" si="4"/>
        <v>1140.18</v>
      </c>
      <c r="N193" s="11" t="str">
        <f t="shared" si="5"/>
        <v>True</v>
      </c>
    </row>
    <row r="194" spans="1:14" x14ac:dyDescent="0.45">
      <c r="A194" t="s">
        <v>219</v>
      </c>
      <c r="B194" t="s">
        <v>11</v>
      </c>
      <c r="C194" t="s">
        <v>12</v>
      </c>
      <c r="D194" t="s">
        <v>27</v>
      </c>
      <c r="E194" t="s">
        <v>14</v>
      </c>
      <c r="F194" t="s">
        <v>15</v>
      </c>
      <c r="G194" s="7">
        <v>45117</v>
      </c>
      <c r="H194">
        <v>31</v>
      </c>
      <c r="I194">
        <v>295.60000000000002</v>
      </c>
      <c r="J194">
        <v>67.150000000000006</v>
      </c>
      <c r="K194">
        <v>9163.6</v>
      </c>
      <c r="M194">
        <f t="shared" si="4"/>
        <v>9163.6</v>
      </c>
      <c r="N194" s="11" t="str">
        <f t="shared" si="5"/>
        <v>True</v>
      </c>
    </row>
    <row r="195" spans="1:14" x14ac:dyDescent="0.45">
      <c r="A195" t="s">
        <v>220</v>
      </c>
      <c r="B195" t="s">
        <v>11</v>
      </c>
      <c r="C195" t="s">
        <v>50</v>
      </c>
      <c r="D195" t="s">
        <v>13</v>
      </c>
      <c r="E195" t="s">
        <v>14</v>
      </c>
      <c r="F195" t="s">
        <v>20</v>
      </c>
      <c r="G195" s="7">
        <v>45118</v>
      </c>
      <c r="H195">
        <v>468</v>
      </c>
      <c r="I195">
        <v>88.38</v>
      </c>
      <c r="J195">
        <v>110.97</v>
      </c>
      <c r="K195">
        <v>41361.839999999997</v>
      </c>
      <c r="M195">
        <f t="shared" si="4"/>
        <v>41361.839999999997</v>
      </c>
      <c r="N195" s="11" t="str">
        <f t="shared" si="5"/>
        <v>True</v>
      </c>
    </row>
    <row r="196" spans="1:14" x14ac:dyDescent="0.45">
      <c r="A196" t="s">
        <v>221</v>
      </c>
      <c r="B196" t="s">
        <v>22</v>
      </c>
      <c r="C196" t="s">
        <v>12</v>
      </c>
      <c r="D196" t="s">
        <v>27</v>
      </c>
      <c r="E196" t="s">
        <v>14</v>
      </c>
      <c r="F196" t="s">
        <v>28</v>
      </c>
      <c r="G196" s="7">
        <v>45119</v>
      </c>
      <c r="H196">
        <v>36</v>
      </c>
      <c r="I196">
        <v>323.08</v>
      </c>
      <c r="J196">
        <v>371.47</v>
      </c>
      <c r="K196">
        <v>11630.88</v>
      </c>
      <c r="M196">
        <f t="shared" si="4"/>
        <v>11630.88</v>
      </c>
      <c r="N196" s="11" t="str">
        <f t="shared" si="5"/>
        <v>True</v>
      </c>
    </row>
    <row r="197" spans="1:14" x14ac:dyDescent="0.45">
      <c r="A197" t="s">
        <v>222</v>
      </c>
      <c r="B197" t="s">
        <v>11</v>
      </c>
      <c r="C197" t="s">
        <v>26</v>
      </c>
      <c r="D197" t="s">
        <v>23</v>
      </c>
      <c r="E197" t="s">
        <v>24</v>
      </c>
      <c r="F197" t="s">
        <v>20</v>
      </c>
      <c r="G197" s="7">
        <v>45120</v>
      </c>
      <c r="H197">
        <v>204</v>
      </c>
      <c r="I197">
        <v>380.88</v>
      </c>
      <c r="J197">
        <v>271.04000000000002</v>
      </c>
      <c r="K197">
        <v>77699.520000000004</v>
      </c>
      <c r="M197">
        <f t="shared" ref="M197:M260" si="6">$H197*$I197</f>
        <v>77699.520000000004</v>
      </c>
      <c r="N197" s="11" t="str">
        <f t="shared" ref="N197:N260" si="7">IF(K197=M197,"True","False")</f>
        <v>True</v>
      </c>
    </row>
    <row r="198" spans="1:14" x14ac:dyDescent="0.45">
      <c r="A198" t="s">
        <v>223</v>
      </c>
      <c r="B198" t="s">
        <v>11</v>
      </c>
      <c r="C198" t="s">
        <v>26</v>
      </c>
      <c r="D198" t="s">
        <v>23</v>
      </c>
      <c r="E198" t="s">
        <v>14</v>
      </c>
      <c r="F198" t="s">
        <v>20</v>
      </c>
      <c r="G198" s="7">
        <v>45121</v>
      </c>
      <c r="H198">
        <v>346</v>
      </c>
      <c r="I198">
        <v>252.72</v>
      </c>
      <c r="J198">
        <v>199.43</v>
      </c>
      <c r="K198">
        <v>87441.12</v>
      </c>
      <c r="M198">
        <f t="shared" si="6"/>
        <v>87441.12</v>
      </c>
      <c r="N198" s="11" t="str">
        <f t="shared" si="7"/>
        <v>True</v>
      </c>
    </row>
    <row r="199" spans="1:14" x14ac:dyDescent="0.45">
      <c r="A199" t="s">
        <v>224</v>
      </c>
      <c r="B199" t="s">
        <v>48</v>
      </c>
      <c r="C199" t="s">
        <v>50</v>
      </c>
      <c r="D199" t="s">
        <v>13</v>
      </c>
      <c r="E199" t="s">
        <v>24</v>
      </c>
      <c r="F199" t="s">
        <v>15</v>
      </c>
      <c r="G199" s="7">
        <v>45122</v>
      </c>
      <c r="H199">
        <v>391</v>
      </c>
      <c r="I199">
        <v>273.47000000000003</v>
      </c>
      <c r="J199">
        <v>7.06</v>
      </c>
      <c r="K199">
        <v>106926.77</v>
      </c>
      <c r="M199">
        <f t="shared" si="6"/>
        <v>106926.77</v>
      </c>
      <c r="N199" s="11" t="str">
        <f t="shared" si="7"/>
        <v>True</v>
      </c>
    </row>
    <row r="200" spans="1:14" x14ac:dyDescent="0.45">
      <c r="A200" t="s">
        <v>225</v>
      </c>
      <c r="B200" t="s">
        <v>48</v>
      </c>
      <c r="C200" t="s">
        <v>12</v>
      </c>
      <c r="D200" t="s">
        <v>13</v>
      </c>
      <c r="E200" t="s">
        <v>14</v>
      </c>
      <c r="F200" t="s">
        <v>28</v>
      </c>
      <c r="G200" s="7">
        <v>45123</v>
      </c>
      <c r="H200">
        <v>245</v>
      </c>
      <c r="I200">
        <v>475.98</v>
      </c>
      <c r="J200">
        <v>396.98</v>
      </c>
      <c r="K200">
        <v>116615.1</v>
      </c>
      <c r="M200">
        <f t="shared" si="6"/>
        <v>116615.1</v>
      </c>
      <c r="N200" s="11" t="str">
        <f t="shared" si="7"/>
        <v>True</v>
      </c>
    </row>
    <row r="201" spans="1:14" x14ac:dyDescent="0.45">
      <c r="A201" t="s">
        <v>226</v>
      </c>
      <c r="B201" t="s">
        <v>17</v>
      </c>
      <c r="C201" t="s">
        <v>18</v>
      </c>
      <c r="D201" t="s">
        <v>27</v>
      </c>
      <c r="E201" t="s">
        <v>24</v>
      </c>
      <c r="F201" t="s">
        <v>20</v>
      </c>
      <c r="G201" s="7">
        <v>45124</v>
      </c>
      <c r="H201">
        <v>449</v>
      </c>
      <c r="I201">
        <v>424.35</v>
      </c>
      <c r="J201">
        <v>269.24</v>
      </c>
      <c r="K201">
        <v>190533.15</v>
      </c>
      <c r="M201">
        <f t="shared" si="6"/>
        <v>190533.15000000002</v>
      </c>
      <c r="N201" s="11" t="str">
        <f t="shared" si="7"/>
        <v>True</v>
      </c>
    </row>
    <row r="202" spans="1:14" x14ac:dyDescent="0.45">
      <c r="A202" t="s">
        <v>227</v>
      </c>
      <c r="B202" t="s">
        <v>22</v>
      </c>
      <c r="C202" t="s">
        <v>50</v>
      </c>
      <c r="D202" t="s">
        <v>19</v>
      </c>
      <c r="E202" t="s">
        <v>24</v>
      </c>
      <c r="F202" t="s">
        <v>28</v>
      </c>
      <c r="G202" s="7">
        <v>45125</v>
      </c>
      <c r="H202">
        <v>101</v>
      </c>
      <c r="I202">
        <v>457.55</v>
      </c>
      <c r="J202">
        <v>128.13999999999999</v>
      </c>
      <c r="K202">
        <v>46212.55</v>
      </c>
      <c r="M202">
        <f t="shared" si="6"/>
        <v>46212.55</v>
      </c>
      <c r="N202" s="11" t="str">
        <f t="shared" si="7"/>
        <v>True</v>
      </c>
    </row>
    <row r="203" spans="1:14" x14ac:dyDescent="0.45">
      <c r="A203" t="s">
        <v>228</v>
      </c>
      <c r="B203" t="s">
        <v>11</v>
      </c>
      <c r="C203" t="s">
        <v>26</v>
      </c>
      <c r="D203" t="s">
        <v>27</v>
      </c>
      <c r="E203" t="s">
        <v>14</v>
      </c>
      <c r="F203" t="s">
        <v>20</v>
      </c>
      <c r="G203" s="7">
        <v>45126</v>
      </c>
      <c r="H203">
        <v>248.5</v>
      </c>
      <c r="I203">
        <v>407.81</v>
      </c>
      <c r="J203">
        <v>351.95</v>
      </c>
      <c r="K203">
        <v>101340.785</v>
      </c>
      <c r="M203">
        <f t="shared" si="6"/>
        <v>101340.785</v>
      </c>
      <c r="N203" s="11" t="str">
        <f t="shared" si="7"/>
        <v>True</v>
      </c>
    </row>
    <row r="204" spans="1:14" x14ac:dyDescent="0.45">
      <c r="A204" t="s">
        <v>229</v>
      </c>
      <c r="B204" t="s">
        <v>11</v>
      </c>
      <c r="C204" t="s">
        <v>26</v>
      </c>
      <c r="D204" t="s">
        <v>13</v>
      </c>
      <c r="E204" t="s">
        <v>24</v>
      </c>
      <c r="F204" t="s">
        <v>20</v>
      </c>
      <c r="G204" s="7">
        <v>45127</v>
      </c>
      <c r="H204">
        <v>30</v>
      </c>
      <c r="I204">
        <v>58.91</v>
      </c>
      <c r="J204">
        <v>104.86</v>
      </c>
      <c r="K204">
        <v>1767.3</v>
      </c>
      <c r="M204">
        <f t="shared" si="6"/>
        <v>1767.3</v>
      </c>
      <c r="N204" s="11" t="str">
        <f t="shared" si="7"/>
        <v>True</v>
      </c>
    </row>
    <row r="205" spans="1:14" x14ac:dyDescent="0.45">
      <c r="A205" t="s">
        <v>230</v>
      </c>
      <c r="B205" t="s">
        <v>17</v>
      </c>
      <c r="C205" t="s">
        <v>50</v>
      </c>
      <c r="D205" t="s">
        <v>13</v>
      </c>
      <c r="E205" t="s">
        <v>14</v>
      </c>
      <c r="F205" t="s">
        <v>28</v>
      </c>
      <c r="G205" s="7">
        <v>45128</v>
      </c>
      <c r="H205">
        <v>312</v>
      </c>
      <c r="I205">
        <v>78.75</v>
      </c>
      <c r="J205">
        <v>218.52</v>
      </c>
      <c r="K205">
        <v>24570</v>
      </c>
      <c r="M205">
        <f t="shared" si="6"/>
        <v>24570</v>
      </c>
      <c r="N205" s="11" t="str">
        <f t="shared" si="7"/>
        <v>True</v>
      </c>
    </row>
    <row r="206" spans="1:14" x14ac:dyDescent="0.45">
      <c r="A206" t="s">
        <v>231</v>
      </c>
      <c r="B206" t="s">
        <v>11</v>
      </c>
      <c r="C206" t="s">
        <v>12</v>
      </c>
      <c r="D206" t="s">
        <v>42</v>
      </c>
      <c r="E206" t="s">
        <v>24</v>
      </c>
      <c r="F206" t="s">
        <v>20</v>
      </c>
      <c r="G206" s="7">
        <v>45129</v>
      </c>
      <c r="H206">
        <v>473</v>
      </c>
      <c r="I206">
        <v>265.68</v>
      </c>
      <c r="J206">
        <v>255.16</v>
      </c>
      <c r="K206">
        <v>125666.64</v>
      </c>
      <c r="M206">
        <f t="shared" si="6"/>
        <v>125666.64</v>
      </c>
      <c r="N206" s="11" t="str">
        <f t="shared" si="7"/>
        <v>True</v>
      </c>
    </row>
    <row r="207" spans="1:14" x14ac:dyDescent="0.45">
      <c r="A207" t="s">
        <v>232</v>
      </c>
      <c r="B207" t="s">
        <v>22</v>
      </c>
      <c r="C207" t="s">
        <v>26</v>
      </c>
      <c r="D207" t="s">
        <v>13</v>
      </c>
      <c r="E207" t="s">
        <v>14</v>
      </c>
      <c r="F207" t="s">
        <v>28</v>
      </c>
      <c r="G207" s="7">
        <v>45130</v>
      </c>
      <c r="H207">
        <v>366</v>
      </c>
      <c r="I207">
        <v>126.8</v>
      </c>
      <c r="J207">
        <v>89.98</v>
      </c>
      <c r="K207">
        <v>46408.800000000003</v>
      </c>
      <c r="M207">
        <f t="shared" si="6"/>
        <v>46408.799999999996</v>
      </c>
      <c r="N207" s="11" t="str">
        <f t="shared" si="7"/>
        <v>True</v>
      </c>
    </row>
    <row r="208" spans="1:14" x14ac:dyDescent="0.45">
      <c r="A208" t="s">
        <v>233</v>
      </c>
      <c r="B208" t="s">
        <v>17</v>
      </c>
      <c r="C208" t="s">
        <v>12</v>
      </c>
      <c r="D208" t="s">
        <v>42</v>
      </c>
      <c r="E208" t="s">
        <v>14</v>
      </c>
      <c r="F208" t="s">
        <v>20</v>
      </c>
      <c r="G208" s="7">
        <v>45131</v>
      </c>
      <c r="H208">
        <v>452</v>
      </c>
      <c r="I208">
        <v>240.96</v>
      </c>
      <c r="J208">
        <v>391.4</v>
      </c>
      <c r="K208">
        <v>108913.92</v>
      </c>
      <c r="M208">
        <f t="shared" si="6"/>
        <v>108913.92</v>
      </c>
      <c r="N208" s="11" t="str">
        <f t="shared" si="7"/>
        <v>True</v>
      </c>
    </row>
    <row r="209" spans="1:14" x14ac:dyDescent="0.45">
      <c r="A209" t="s">
        <v>234</v>
      </c>
      <c r="B209" t="s">
        <v>22</v>
      </c>
      <c r="C209" t="s">
        <v>26</v>
      </c>
      <c r="D209" t="s">
        <v>19</v>
      </c>
      <c r="E209" t="s">
        <v>24</v>
      </c>
      <c r="F209" t="s">
        <v>15</v>
      </c>
      <c r="G209" s="7">
        <v>45132</v>
      </c>
      <c r="H209">
        <v>93</v>
      </c>
      <c r="I209">
        <v>200.21</v>
      </c>
      <c r="J209">
        <v>299.77999999999997</v>
      </c>
      <c r="K209">
        <v>18619.53</v>
      </c>
      <c r="M209">
        <f t="shared" si="6"/>
        <v>18619.530000000002</v>
      </c>
      <c r="N209" s="11" t="str">
        <f t="shared" si="7"/>
        <v>True</v>
      </c>
    </row>
    <row r="210" spans="1:14" x14ac:dyDescent="0.45">
      <c r="A210" t="s">
        <v>235</v>
      </c>
      <c r="B210" t="s">
        <v>17</v>
      </c>
      <c r="C210" t="s">
        <v>26</v>
      </c>
      <c r="D210" t="s">
        <v>27</v>
      </c>
      <c r="E210" t="s">
        <v>14</v>
      </c>
      <c r="F210" t="s">
        <v>28</v>
      </c>
      <c r="G210" s="7">
        <v>45133</v>
      </c>
      <c r="H210">
        <v>271</v>
      </c>
      <c r="I210">
        <v>276.95999999999998</v>
      </c>
      <c r="J210">
        <v>224.01</v>
      </c>
      <c r="K210">
        <v>75056.159999999989</v>
      </c>
      <c r="M210">
        <f t="shared" si="6"/>
        <v>75056.159999999989</v>
      </c>
      <c r="N210" s="11" t="str">
        <f t="shared" si="7"/>
        <v>True</v>
      </c>
    </row>
    <row r="211" spans="1:14" x14ac:dyDescent="0.45">
      <c r="A211" t="s">
        <v>236</v>
      </c>
      <c r="B211" t="s">
        <v>17</v>
      </c>
      <c r="C211" t="s">
        <v>31</v>
      </c>
      <c r="D211" t="s">
        <v>27</v>
      </c>
      <c r="E211" t="s">
        <v>14</v>
      </c>
      <c r="F211" t="s">
        <v>20</v>
      </c>
      <c r="G211" s="7">
        <v>45134</v>
      </c>
      <c r="H211">
        <v>156</v>
      </c>
      <c r="I211">
        <v>374.7</v>
      </c>
      <c r="J211">
        <v>73.88</v>
      </c>
      <c r="K211">
        <v>58453.2</v>
      </c>
      <c r="M211">
        <f t="shared" si="6"/>
        <v>58453.2</v>
      </c>
      <c r="N211" s="11" t="str">
        <f t="shared" si="7"/>
        <v>True</v>
      </c>
    </row>
    <row r="212" spans="1:14" x14ac:dyDescent="0.45">
      <c r="A212" t="s">
        <v>237</v>
      </c>
      <c r="B212" t="s">
        <v>48</v>
      </c>
      <c r="C212" t="s">
        <v>26</v>
      </c>
      <c r="D212" t="s">
        <v>42</v>
      </c>
      <c r="E212" t="s">
        <v>24</v>
      </c>
      <c r="F212" t="s">
        <v>20</v>
      </c>
      <c r="G212" s="7">
        <v>45135</v>
      </c>
      <c r="H212">
        <v>450</v>
      </c>
      <c r="I212">
        <v>359.17</v>
      </c>
      <c r="J212">
        <v>23.44</v>
      </c>
      <c r="K212">
        <v>161626.5</v>
      </c>
      <c r="M212">
        <f t="shared" si="6"/>
        <v>161626.5</v>
      </c>
      <c r="N212" s="11" t="str">
        <f t="shared" si="7"/>
        <v>True</v>
      </c>
    </row>
    <row r="213" spans="1:14" x14ac:dyDescent="0.45">
      <c r="A213" t="s">
        <v>238</v>
      </c>
      <c r="B213" t="s">
        <v>22</v>
      </c>
      <c r="C213" t="s">
        <v>18</v>
      </c>
      <c r="D213" t="s">
        <v>27</v>
      </c>
      <c r="E213" t="s">
        <v>14</v>
      </c>
      <c r="F213" t="s">
        <v>15</v>
      </c>
      <c r="G213" s="7">
        <v>45136</v>
      </c>
      <c r="H213">
        <v>462</v>
      </c>
      <c r="I213">
        <v>263.01</v>
      </c>
      <c r="J213">
        <v>129.38</v>
      </c>
      <c r="K213">
        <v>121510.62</v>
      </c>
      <c r="M213">
        <f t="shared" si="6"/>
        <v>121510.62</v>
      </c>
      <c r="N213" s="11" t="str">
        <f t="shared" si="7"/>
        <v>True</v>
      </c>
    </row>
    <row r="214" spans="1:14" x14ac:dyDescent="0.45">
      <c r="A214" t="s">
        <v>239</v>
      </c>
      <c r="B214" t="s">
        <v>11</v>
      </c>
      <c r="C214" t="s">
        <v>50</v>
      </c>
      <c r="D214" t="s">
        <v>13</v>
      </c>
      <c r="E214" t="s">
        <v>14</v>
      </c>
      <c r="F214" t="s">
        <v>28</v>
      </c>
      <c r="G214" s="7">
        <v>45137</v>
      </c>
      <c r="H214">
        <v>396</v>
      </c>
      <c r="I214">
        <v>412.08</v>
      </c>
      <c r="J214">
        <v>301.77</v>
      </c>
      <c r="K214">
        <v>163183.67999999999</v>
      </c>
      <c r="M214">
        <f t="shared" si="6"/>
        <v>163183.67999999999</v>
      </c>
      <c r="N214" s="11" t="str">
        <f t="shared" si="7"/>
        <v>True</v>
      </c>
    </row>
    <row r="215" spans="1:14" x14ac:dyDescent="0.45">
      <c r="A215" t="s">
        <v>240</v>
      </c>
      <c r="B215" t="s">
        <v>11</v>
      </c>
      <c r="C215" t="s">
        <v>50</v>
      </c>
      <c r="D215" t="s">
        <v>23</v>
      </c>
      <c r="E215" t="s">
        <v>24</v>
      </c>
      <c r="F215" t="s">
        <v>20</v>
      </c>
      <c r="G215" s="7">
        <v>45138</v>
      </c>
      <c r="H215">
        <v>266</v>
      </c>
      <c r="I215">
        <v>218.28</v>
      </c>
      <c r="J215">
        <v>109.19</v>
      </c>
      <c r="K215">
        <v>58062.48</v>
      </c>
      <c r="M215">
        <f t="shared" si="6"/>
        <v>58062.48</v>
      </c>
      <c r="N215" s="11" t="str">
        <f t="shared" si="7"/>
        <v>True</v>
      </c>
    </row>
    <row r="216" spans="1:14" x14ac:dyDescent="0.45">
      <c r="A216" t="s">
        <v>241</v>
      </c>
      <c r="B216" t="s">
        <v>22</v>
      </c>
      <c r="C216" t="s">
        <v>12</v>
      </c>
      <c r="D216" t="s">
        <v>42</v>
      </c>
      <c r="E216" t="s">
        <v>24</v>
      </c>
      <c r="F216" t="s">
        <v>15</v>
      </c>
      <c r="G216" s="7">
        <v>45139</v>
      </c>
      <c r="H216">
        <v>67</v>
      </c>
      <c r="I216">
        <v>448.87</v>
      </c>
      <c r="J216">
        <v>216.74</v>
      </c>
      <c r="K216">
        <v>30074.29</v>
      </c>
      <c r="M216">
        <f t="shared" si="6"/>
        <v>30074.29</v>
      </c>
      <c r="N216" s="11" t="str">
        <f t="shared" si="7"/>
        <v>True</v>
      </c>
    </row>
    <row r="217" spans="1:14" x14ac:dyDescent="0.45">
      <c r="A217" t="s">
        <v>242</v>
      </c>
      <c r="B217" t="s">
        <v>11</v>
      </c>
      <c r="C217" t="s">
        <v>26</v>
      </c>
      <c r="D217" t="s">
        <v>27</v>
      </c>
      <c r="E217" t="s">
        <v>14</v>
      </c>
      <c r="F217" t="s">
        <v>20</v>
      </c>
      <c r="G217" s="7">
        <v>45140</v>
      </c>
      <c r="H217">
        <v>389</v>
      </c>
      <c r="I217">
        <v>40.28</v>
      </c>
      <c r="J217">
        <v>291.72000000000003</v>
      </c>
      <c r="K217">
        <v>15668.92</v>
      </c>
      <c r="M217">
        <f t="shared" si="6"/>
        <v>15668.92</v>
      </c>
      <c r="N217" s="11" t="str">
        <f t="shared" si="7"/>
        <v>True</v>
      </c>
    </row>
    <row r="218" spans="1:14" x14ac:dyDescent="0.45">
      <c r="A218" t="s">
        <v>243</v>
      </c>
      <c r="B218" t="s">
        <v>11</v>
      </c>
      <c r="C218" t="s">
        <v>18</v>
      </c>
      <c r="D218" t="s">
        <v>42</v>
      </c>
      <c r="E218" t="s">
        <v>14</v>
      </c>
      <c r="F218" t="s">
        <v>28</v>
      </c>
      <c r="G218" s="7">
        <v>45141</v>
      </c>
      <c r="H218">
        <v>431</v>
      </c>
      <c r="I218">
        <v>477.56</v>
      </c>
      <c r="J218">
        <v>44.96</v>
      </c>
      <c r="K218">
        <v>205828.36</v>
      </c>
      <c r="M218">
        <f t="shared" si="6"/>
        <v>205828.36000000002</v>
      </c>
      <c r="N218" s="11" t="str">
        <f t="shared" si="7"/>
        <v>True</v>
      </c>
    </row>
    <row r="219" spans="1:14" x14ac:dyDescent="0.45">
      <c r="A219" t="s">
        <v>244</v>
      </c>
      <c r="B219" t="s">
        <v>22</v>
      </c>
      <c r="C219" t="s">
        <v>12</v>
      </c>
      <c r="D219" t="s">
        <v>42</v>
      </c>
      <c r="E219" t="s">
        <v>24</v>
      </c>
      <c r="F219" t="s">
        <v>20</v>
      </c>
      <c r="G219" s="7">
        <v>45142</v>
      </c>
      <c r="H219">
        <v>24</v>
      </c>
      <c r="I219">
        <v>329.07</v>
      </c>
      <c r="J219">
        <v>274.75</v>
      </c>
      <c r="K219">
        <v>7897.68</v>
      </c>
      <c r="M219">
        <f t="shared" si="6"/>
        <v>7897.68</v>
      </c>
      <c r="N219" s="11" t="str">
        <f t="shared" si="7"/>
        <v>True</v>
      </c>
    </row>
    <row r="220" spans="1:14" x14ac:dyDescent="0.45">
      <c r="A220" t="s">
        <v>245</v>
      </c>
      <c r="B220" t="s">
        <v>17</v>
      </c>
      <c r="C220" t="s">
        <v>31</v>
      </c>
      <c r="D220" t="s">
        <v>23</v>
      </c>
      <c r="E220" t="s">
        <v>24</v>
      </c>
      <c r="F220" t="s">
        <v>20</v>
      </c>
      <c r="G220" s="7">
        <v>45143</v>
      </c>
      <c r="H220">
        <v>171</v>
      </c>
      <c r="I220">
        <v>193.14</v>
      </c>
      <c r="J220">
        <v>38.56</v>
      </c>
      <c r="K220">
        <v>33026.94</v>
      </c>
      <c r="M220">
        <f t="shared" si="6"/>
        <v>33026.939999999995</v>
      </c>
      <c r="N220" s="11" t="str">
        <f t="shared" si="7"/>
        <v>True</v>
      </c>
    </row>
    <row r="221" spans="1:14" x14ac:dyDescent="0.45">
      <c r="A221" t="s">
        <v>246</v>
      </c>
      <c r="B221" t="s">
        <v>22</v>
      </c>
      <c r="C221" t="s">
        <v>12</v>
      </c>
      <c r="D221" t="s">
        <v>13</v>
      </c>
      <c r="E221" t="s">
        <v>14</v>
      </c>
      <c r="F221" t="s">
        <v>20</v>
      </c>
      <c r="G221" s="7">
        <v>45144</v>
      </c>
      <c r="H221">
        <v>454</v>
      </c>
      <c r="I221">
        <v>102.59</v>
      </c>
      <c r="J221">
        <v>386.12</v>
      </c>
      <c r="K221">
        <v>46575.86</v>
      </c>
      <c r="M221">
        <f t="shared" si="6"/>
        <v>46575.86</v>
      </c>
      <c r="N221" s="11" t="str">
        <f t="shared" si="7"/>
        <v>True</v>
      </c>
    </row>
    <row r="222" spans="1:14" x14ac:dyDescent="0.45">
      <c r="A222" t="s">
        <v>247</v>
      </c>
      <c r="B222" t="s">
        <v>17</v>
      </c>
      <c r="C222" t="s">
        <v>12</v>
      </c>
      <c r="D222" t="s">
        <v>42</v>
      </c>
      <c r="E222" t="s">
        <v>24</v>
      </c>
      <c r="F222" t="s">
        <v>20</v>
      </c>
      <c r="G222" s="7">
        <v>45145</v>
      </c>
      <c r="H222">
        <v>172</v>
      </c>
      <c r="I222">
        <v>242.2</v>
      </c>
      <c r="J222">
        <v>196.38</v>
      </c>
      <c r="K222">
        <v>41658.400000000001</v>
      </c>
      <c r="M222">
        <f t="shared" si="6"/>
        <v>41658.400000000001</v>
      </c>
      <c r="N222" s="11" t="str">
        <f t="shared" si="7"/>
        <v>True</v>
      </c>
    </row>
    <row r="223" spans="1:14" x14ac:dyDescent="0.45">
      <c r="A223" t="s">
        <v>248</v>
      </c>
      <c r="B223" t="s">
        <v>11</v>
      </c>
      <c r="C223" t="s">
        <v>26</v>
      </c>
      <c r="D223" t="s">
        <v>27</v>
      </c>
      <c r="E223" t="s">
        <v>14</v>
      </c>
      <c r="F223" t="s">
        <v>15</v>
      </c>
      <c r="G223" s="7">
        <v>45146</v>
      </c>
      <c r="H223">
        <v>329</v>
      </c>
      <c r="I223">
        <v>101.31</v>
      </c>
      <c r="J223">
        <v>61.97</v>
      </c>
      <c r="K223">
        <v>33330.99</v>
      </c>
      <c r="M223">
        <f t="shared" si="6"/>
        <v>33330.99</v>
      </c>
      <c r="N223" s="11" t="str">
        <f t="shared" si="7"/>
        <v>True</v>
      </c>
    </row>
    <row r="224" spans="1:14" x14ac:dyDescent="0.45">
      <c r="A224" t="s">
        <v>249</v>
      </c>
      <c r="B224" t="s">
        <v>11</v>
      </c>
      <c r="C224" t="s">
        <v>31</v>
      </c>
      <c r="D224" t="s">
        <v>19</v>
      </c>
      <c r="E224" t="s">
        <v>14</v>
      </c>
      <c r="F224" t="s">
        <v>15</v>
      </c>
      <c r="G224" s="7">
        <v>45147</v>
      </c>
      <c r="H224">
        <v>290</v>
      </c>
      <c r="I224">
        <v>87.33</v>
      </c>
      <c r="J224">
        <v>138.27000000000001</v>
      </c>
      <c r="K224">
        <v>25325.7</v>
      </c>
      <c r="M224">
        <f t="shared" si="6"/>
        <v>25325.7</v>
      </c>
      <c r="N224" s="11" t="str">
        <f t="shared" si="7"/>
        <v>True</v>
      </c>
    </row>
    <row r="225" spans="1:14" x14ac:dyDescent="0.45">
      <c r="A225" t="s">
        <v>250</v>
      </c>
      <c r="B225" t="s">
        <v>17</v>
      </c>
      <c r="C225" t="s">
        <v>12</v>
      </c>
      <c r="D225" t="s">
        <v>42</v>
      </c>
      <c r="E225" t="s">
        <v>14</v>
      </c>
      <c r="F225" t="s">
        <v>28</v>
      </c>
      <c r="G225" s="7">
        <v>45148</v>
      </c>
      <c r="H225">
        <v>289</v>
      </c>
      <c r="I225">
        <v>310.58999999999997</v>
      </c>
      <c r="J225">
        <v>166.54</v>
      </c>
      <c r="K225">
        <v>89760.51</v>
      </c>
      <c r="M225">
        <f t="shared" si="6"/>
        <v>89760.51</v>
      </c>
      <c r="N225" s="11" t="str">
        <f t="shared" si="7"/>
        <v>True</v>
      </c>
    </row>
    <row r="226" spans="1:14" x14ac:dyDescent="0.45">
      <c r="A226" t="s">
        <v>251</v>
      </c>
      <c r="B226" t="s">
        <v>48</v>
      </c>
      <c r="C226" t="s">
        <v>18</v>
      </c>
      <c r="D226" t="s">
        <v>42</v>
      </c>
      <c r="E226" t="s">
        <v>14</v>
      </c>
      <c r="F226" t="s">
        <v>15</v>
      </c>
      <c r="G226" s="7">
        <v>45149</v>
      </c>
      <c r="H226">
        <v>21</v>
      </c>
      <c r="I226">
        <v>263.93</v>
      </c>
      <c r="J226">
        <v>303.76</v>
      </c>
      <c r="K226">
        <v>5542.53</v>
      </c>
      <c r="M226">
        <f t="shared" si="6"/>
        <v>5542.53</v>
      </c>
      <c r="N226" s="11" t="str">
        <f t="shared" si="7"/>
        <v>True</v>
      </c>
    </row>
    <row r="227" spans="1:14" x14ac:dyDescent="0.45">
      <c r="A227" t="s">
        <v>252</v>
      </c>
      <c r="B227" t="s">
        <v>17</v>
      </c>
      <c r="C227" t="s">
        <v>18</v>
      </c>
      <c r="D227" t="s">
        <v>23</v>
      </c>
      <c r="E227" t="s">
        <v>14</v>
      </c>
      <c r="F227" t="s">
        <v>15</v>
      </c>
      <c r="G227" s="7">
        <v>45150</v>
      </c>
      <c r="H227">
        <v>283</v>
      </c>
      <c r="I227">
        <v>336.7</v>
      </c>
      <c r="J227">
        <v>297.88</v>
      </c>
      <c r="K227">
        <v>95286.099999999991</v>
      </c>
      <c r="M227">
        <f t="shared" si="6"/>
        <v>95286.099999999991</v>
      </c>
      <c r="N227" s="11" t="str">
        <f t="shared" si="7"/>
        <v>True</v>
      </c>
    </row>
    <row r="228" spans="1:14" x14ac:dyDescent="0.45">
      <c r="A228" t="s">
        <v>253</v>
      </c>
      <c r="B228" t="s">
        <v>48</v>
      </c>
      <c r="C228" t="s">
        <v>50</v>
      </c>
      <c r="D228" t="s">
        <v>13</v>
      </c>
      <c r="E228" t="s">
        <v>24</v>
      </c>
      <c r="F228" t="s">
        <v>28</v>
      </c>
      <c r="G228" s="7">
        <v>45151</v>
      </c>
      <c r="H228">
        <v>280</v>
      </c>
      <c r="I228">
        <v>465.15</v>
      </c>
      <c r="J228">
        <v>245.55</v>
      </c>
      <c r="K228">
        <v>130242</v>
      </c>
      <c r="M228">
        <f t="shared" si="6"/>
        <v>130242</v>
      </c>
      <c r="N228" s="11" t="str">
        <f t="shared" si="7"/>
        <v>True</v>
      </c>
    </row>
    <row r="229" spans="1:14" x14ac:dyDescent="0.45">
      <c r="A229" t="s">
        <v>254</v>
      </c>
      <c r="B229" t="s">
        <v>48</v>
      </c>
      <c r="C229" t="s">
        <v>31</v>
      </c>
      <c r="D229" t="s">
        <v>19</v>
      </c>
      <c r="E229" t="s">
        <v>24</v>
      </c>
      <c r="F229" t="s">
        <v>15</v>
      </c>
      <c r="G229" s="7">
        <v>45152</v>
      </c>
      <c r="H229">
        <v>217</v>
      </c>
      <c r="I229">
        <v>268.47000000000003</v>
      </c>
      <c r="J229">
        <v>44.16</v>
      </c>
      <c r="K229">
        <v>58257.990000000013</v>
      </c>
      <c r="M229">
        <f t="shared" si="6"/>
        <v>58257.990000000005</v>
      </c>
      <c r="N229" s="11" t="str">
        <f t="shared" si="7"/>
        <v>True</v>
      </c>
    </row>
    <row r="230" spans="1:14" x14ac:dyDescent="0.45">
      <c r="A230" t="s">
        <v>255</v>
      </c>
      <c r="B230" t="s">
        <v>22</v>
      </c>
      <c r="C230" t="s">
        <v>31</v>
      </c>
      <c r="D230" t="s">
        <v>27</v>
      </c>
      <c r="E230" t="s">
        <v>24</v>
      </c>
      <c r="F230" t="s">
        <v>15</v>
      </c>
      <c r="G230" s="7">
        <v>45153</v>
      </c>
      <c r="H230">
        <v>36</v>
      </c>
      <c r="I230">
        <v>292.56</v>
      </c>
      <c r="J230">
        <v>62.32</v>
      </c>
      <c r="K230">
        <v>10532.16</v>
      </c>
      <c r="M230">
        <f t="shared" si="6"/>
        <v>10532.16</v>
      </c>
      <c r="N230" s="11" t="str">
        <f t="shared" si="7"/>
        <v>True</v>
      </c>
    </row>
    <row r="231" spans="1:14" x14ac:dyDescent="0.45">
      <c r="A231" t="s">
        <v>256</v>
      </c>
      <c r="B231" t="s">
        <v>48</v>
      </c>
      <c r="C231" t="s">
        <v>50</v>
      </c>
      <c r="D231" t="s">
        <v>19</v>
      </c>
      <c r="E231" t="s">
        <v>24</v>
      </c>
      <c r="F231" t="s">
        <v>28</v>
      </c>
      <c r="G231" s="7">
        <v>45154</v>
      </c>
      <c r="H231">
        <v>248.5</v>
      </c>
      <c r="I231">
        <v>49.37</v>
      </c>
      <c r="J231">
        <v>39.32</v>
      </c>
      <c r="K231">
        <v>12268.445</v>
      </c>
      <c r="M231">
        <f t="shared" si="6"/>
        <v>12268.445</v>
      </c>
      <c r="N231" s="11" t="str">
        <f t="shared" si="7"/>
        <v>True</v>
      </c>
    </row>
    <row r="232" spans="1:14" x14ac:dyDescent="0.45">
      <c r="A232" t="s">
        <v>257</v>
      </c>
      <c r="B232" t="s">
        <v>22</v>
      </c>
      <c r="C232" t="s">
        <v>12</v>
      </c>
      <c r="D232" t="s">
        <v>27</v>
      </c>
      <c r="E232" t="s">
        <v>14</v>
      </c>
      <c r="F232" t="s">
        <v>28</v>
      </c>
      <c r="G232" s="7">
        <v>45155</v>
      </c>
      <c r="H232">
        <v>69</v>
      </c>
      <c r="I232">
        <v>360.23</v>
      </c>
      <c r="J232">
        <v>231.71</v>
      </c>
      <c r="K232">
        <v>24855.87</v>
      </c>
      <c r="M232">
        <f t="shared" si="6"/>
        <v>24855.870000000003</v>
      </c>
      <c r="N232" s="11" t="str">
        <f t="shared" si="7"/>
        <v>True</v>
      </c>
    </row>
    <row r="233" spans="1:14" x14ac:dyDescent="0.45">
      <c r="A233" t="s">
        <v>258</v>
      </c>
      <c r="B233" t="s">
        <v>22</v>
      </c>
      <c r="C233" t="s">
        <v>31</v>
      </c>
      <c r="D233" t="s">
        <v>13</v>
      </c>
      <c r="E233" t="s">
        <v>14</v>
      </c>
      <c r="F233" t="s">
        <v>28</v>
      </c>
      <c r="G233" s="7">
        <v>45156</v>
      </c>
      <c r="H233">
        <v>439</v>
      </c>
      <c r="I233">
        <v>202.95</v>
      </c>
      <c r="J233">
        <v>351.1</v>
      </c>
      <c r="K233">
        <v>89095.049999999988</v>
      </c>
      <c r="M233">
        <f t="shared" si="6"/>
        <v>89095.049999999988</v>
      </c>
      <c r="N233" s="11" t="str">
        <f t="shared" si="7"/>
        <v>True</v>
      </c>
    </row>
    <row r="234" spans="1:14" x14ac:dyDescent="0.45">
      <c r="A234" t="s">
        <v>259</v>
      </c>
      <c r="B234" t="s">
        <v>48</v>
      </c>
      <c r="C234" t="s">
        <v>18</v>
      </c>
      <c r="D234" t="s">
        <v>27</v>
      </c>
      <c r="E234" t="s">
        <v>14</v>
      </c>
      <c r="F234" t="s">
        <v>20</v>
      </c>
      <c r="G234" s="7">
        <v>45157</v>
      </c>
      <c r="H234">
        <v>482</v>
      </c>
      <c r="I234">
        <v>488.48</v>
      </c>
      <c r="J234">
        <v>174.65</v>
      </c>
      <c r="K234">
        <v>235447.36</v>
      </c>
      <c r="M234">
        <f t="shared" si="6"/>
        <v>235447.36000000002</v>
      </c>
      <c r="N234" s="11" t="str">
        <f t="shared" si="7"/>
        <v>True</v>
      </c>
    </row>
    <row r="235" spans="1:14" x14ac:dyDescent="0.45">
      <c r="A235" t="s">
        <v>260</v>
      </c>
      <c r="B235" t="s">
        <v>17</v>
      </c>
      <c r="C235" t="s">
        <v>18</v>
      </c>
      <c r="D235" t="s">
        <v>23</v>
      </c>
      <c r="E235" t="s">
        <v>14</v>
      </c>
      <c r="F235" t="s">
        <v>20</v>
      </c>
      <c r="G235" s="7">
        <v>45158</v>
      </c>
      <c r="H235">
        <v>154</v>
      </c>
      <c r="I235">
        <v>412.47</v>
      </c>
      <c r="J235">
        <v>66.02</v>
      </c>
      <c r="K235">
        <v>63520.38</v>
      </c>
      <c r="M235">
        <f t="shared" si="6"/>
        <v>63520.380000000005</v>
      </c>
      <c r="N235" s="11" t="str">
        <f t="shared" si="7"/>
        <v>True</v>
      </c>
    </row>
    <row r="236" spans="1:14" x14ac:dyDescent="0.45">
      <c r="A236" t="s">
        <v>261</v>
      </c>
      <c r="B236" t="s">
        <v>17</v>
      </c>
      <c r="C236" t="s">
        <v>26</v>
      </c>
      <c r="D236" t="s">
        <v>23</v>
      </c>
      <c r="E236" t="s">
        <v>24</v>
      </c>
      <c r="F236" t="s">
        <v>28</v>
      </c>
      <c r="G236" s="7">
        <v>45159</v>
      </c>
      <c r="H236">
        <v>102</v>
      </c>
      <c r="I236">
        <v>263.63</v>
      </c>
      <c r="J236">
        <v>224.1</v>
      </c>
      <c r="K236">
        <v>26890.26</v>
      </c>
      <c r="M236">
        <f t="shared" si="6"/>
        <v>26890.26</v>
      </c>
      <c r="N236" s="11" t="str">
        <f t="shared" si="7"/>
        <v>True</v>
      </c>
    </row>
    <row r="237" spans="1:14" x14ac:dyDescent="0.45">
      <c r="A237" t="s">
        <v>262</v>
      </c>
      <c r="B237" t="s">
        <v>17</v>
      </c>
      <c r="C237" t="s">
        <v>31</v>
      </c>
      <c r="D237" t="s">
        <v>23</v>
      </c>
      <c r="E237" t="s">
        <v>14</v>
      </c>
      <c r="F237" t="s">
        <v>28</v>
      </c>
      <c r="G237" s="7">
        <v>45160</v>
      </c>
      <c r="H237">
        <v>318</v>
      </c>
      <c r="I237">
        <v>66</v>
      </c>
      <c r="J237">
        <v>325.08</v>
      </c>
      <c r="K237">
        <v>20988</v>
      </c>
      <c r="M237">
        <f t="shared" si="6"/>
        <v>20988</v>
      </c>
      <c r="N237" s="11" t="str">
        <f t="shared" si="7"/>
        <v>True</v>
      </c>
    </row>
    <row r="238" spans="1:14" x14ac:dyDescent="0.45">
      <c r="A238" t="s">
        <v>263</v>
      </c>
      <c r="B238" t="s">
        <v>17</v>
      </c>
      <c r="C238" t="s">
        <v>12</v>
      </c>
      <c r="D238" t="s">
        <v>23</v>
      </c>
      <c r="E238" t="s">
        <v>14</v>
      </c>
      <c r="F238" t="s">
        <v>28</v>
      </c>
      <c r="G238" s="7">
        <v>45161</v>
      </c>
      <c r="H238">
        <v>17</v>
      </c>
      <c r="I238">
        <v>430.41</v>
      </c>
      <c r="J238">
        <v>297.2</v>
      </c>
      <c r="K238">
        <v>7316.97</v>
      </c>
      <c r="M238">
        <f t="shared" si="6"/>
        <v>7316.97</v>
      </c>
      <c r="N238" s="11" t="str">
        <f t="shared" si="7"/>
        <v>True</v>
      </c>
    </row>
    <row r="239" spans="1:14" x14ac:dyDescent="0.45">
      <c r="A239" t="s">
        <v>264</v>
      </c>
      <c r="B239" t="s">
        <v>17</v>
      </c>
      <c r="C239" t="s">
        <v>50</v>
      </c>
      <c r="D239" t="s">
        <v>19</v>
      </c>
      <c r="E239" t="s">
        <v>24</v>
      </c>
      <c r="F239" t="s">
        <v>20</v>
      </c>
      <c r="G239" s="7">
        <v>45162</v>
      </c>
      <c r="H239">
        <v>88</v>
      </c>
      <c r="I239">
        <v>400.89</v>
      </c>
      <c r="J239">
        <v>352.82</v>
      </c>
      <c r="K239">
        <v>35278.32</v>
      </c>
      <c r="M239">
        <f t="shared" si="6"/>
        <v>35278.32</v>
      </c>
      <c r="N239" s="11" t="str">
        <f t="shared" si="7"/>
        <v>True</v>
      </c>
    </row>
    <row r="240" spans="1:14" x14ac:dyDescent="0.45">
      <c r="A240" t="s">
        <v>265</v>
      </c>
      <c r="B240" t="s">
        <v>48</v>
      </c>
      <c r="C240" t="s">
        <v>50</v>
      </c>
      <c r="D240" t="s">
        <v>13</v>
      </c>
      <c r="E240" t="s">
        <v>24</v>
      </c>
      <c r="F240" t="s">
        <v>20</v>
      </c>
      <c r="G240" s="7">
        <v>45163</v>
      </c>
      <c r="H240">
        <v>36</v>
      </c>
      <c r="I240">
        <v>96.37</v>
      </c>
      <c r="J240">
        <v>112.61</v>
      </c>
      <c r="K240">
        <v>3469.32</v>
      </c>
      <c r="M240">
        <f t="shared" si="6"/>
        <v>3469.32</v>
      </c>
      <c r="N240" s="11" t="str">
        <f t="shared" si="7"/>
        <v>True</v>
      </c>
    </row>
    <row r="241" spans="1:14" x14ac:dyDescent="0.45">
      <c r="A241" t="s">
        <v>266</v>
      </c>
      <c r="B241" t="s">
        <v>48</v>
      </c>
      <c r="C241" t="s">
        <v>12</v>
      </c>
      <c r="D241" t="s">
        <v>27</v>
      </c>
      <c r="E241" t="s">
        <v>24</v>
      </c>
      <c r="F241" t="s">
        <v>15</v>
      </c>
      <c r="G241" s="7">
        <v>45164</v>
      </c>
      <c r="H241">
        <v>183</v>
      </c>
      <c r="I241">
        <v>151.16</v>
      </c>
      <c r="J241">
        <v>79.19</v>
      </c>
      <c r="K241">
        <v>27662.28</v>
      </c>
      <c r="M241">
        <f t="shared" si="6"/>
        <v>27662.28</v>
      </c>
      <c r="N241" s="11" t="str">
        <f t="shared" si="7"/>
        <v>True</v>
      </c>
    </row>
    <row r="242" spans="1:14" x14ac:dyDescent="0.45">
      <c r="A242" t="s">
        <v>267</v>
      </c>
      <c r="B242" t="s">
        <v>11</v>
      </c>
      <c r="C242" t="s">
        <v>26</v>
      </c>
      <c r="D242" t="s">
        <v>27</v>
      </c>
      <c r="E242" t="s">
        <v>24</v>
      </c>
      <c r="F242" t="s">
        <v>15</v>
      </c>
      <c r="G242" s="7">
        <v>45165</v>
      </c>
      <c r="H242">
        <v>59</v>
      </c>
      <c r="I242">
        <v>397.74</v>
      </c>
      <c r="J242">
        <v>352.17</v>
      </c>
      <c r="K242">
        <v>23466.66</v>
      </c>
      <c r="M242">
        <f t="shared" si="6"/>
        <v>23466.66</v>
      </c>
      <c r="N242" s="11" t="str">
        <f t="shared" si="7"/>
        <v>True</v>
      </c>
    </row>
    <row r="243" spans="1:14" x14ac:dyDescent="0.45">
      <c r="A243" t="s">
        <v>268</v>
      </c>
      <c r="B243" t="s">
        <v>17</v>
      </c>
      <c r="C243" t="s">
        <v>50</v>
      </c>
      <c r="D243" t="s">
        <v>23</v>
      </c>
      <c r="E243" t="s">
        <v>14</v>
      </c>
      <c r="F243" t="s">
        <v>28</v>
      </c>
      <c r="G243" s="7">
        <v>45166</v>
      </c>
      <c r="H243">
        <v>208</v>
      </c>
      <c r="I243">
        <v>96.69</v>
      </c>
      <c r="J243">
        <v>263.70999999999998</v>
      </c>
      <c r="K243">
        <v>20111.52</v>
      </c>
      <c r="M243">
        <f t="shared" si="6"/>
        <v>20111.52</v>
      </c>
      <c r="N243" s="11" t="str">
        <f t="shared" si="7"/>
        <v>True</v>
      </c>
    </row>
    <row r="244" spans="1:14" x14ac:dyDescent="0.45">
      <c r="A244" t="s">
        <v>269</v>
      </c>
      <c r="B244" t="s">
        <v>48</v>
      </c>
      <c r="C244" t="s">
        <v>31</v>
      </c>
      <c r="D244" t="s">
        <v>23</v>
      </c>
      <c r="E244" t="s">
        <v>14</v>
      </c>
      <c r="F244" t="s">
        <v>20</v>
      </c>
      <c r="G244" s="7">
        <v>45167</v>
      </c>
      <c r="H244">
        <v>396</v>
      </c>
      <c r="I244">
        <v>459.29</v>
      </c>
      <c r="J244">
        <v>125.75</v>
      </c>
      <c r="K244">
        <v>181878.84</v>
      </c>
      <c r="M244">
        <f t="shared" si="6"/>
        <v>181878.84</v>
      </c>
      <c r="N244" s="11" t="str">
        <f t="shared" si="7"/>
        <v>True</v>
      </c>
    </row>
    <row r="245" spans="1:14" x14ac:dyDescent="0.45">
      <c r="A245" t="s">
        <v>270</v>
      </c>
      <c r="B245" t="s">
        <v>11</v>
      </c>
      <c r="C245" t="s">
        <v>26</v>
      </c>
      <c r="D245" t="s">
        <v>42</v>
      </c>
      <c r="E245" t="s">
        <v>24</v>
      </c>
      <c r="F245" t="s">
        <v>20</v>
      </c>
      <c r="G245" s="7">
        <v>45168</v>
      </c>
      <c r="H245">
        <v>358</v>
      </c>
      <c r="I245">
        <v>215.14</v>
      </c>
      <c r="J245">
        <v>297.45</v>
      </c>
      <c r="K245">
        <v>77020.12</v>
      </c>
      <c r="M245">
        <f t="shared" si="6"/>
        <v>77020.12</v>
      </c>
      <c r="N245" s="11" t="str">
        <f t="shared" si="7"/>
        <v>True</v>
      </c>
    </row>
    <row r="246" spans="1:14" x14ac:dyDescent="0.45">
      <c r="A246" t="s">
        <v>271</v>
      </c>
      <c r="B246" t="s">
        <v>17</v>
      </c>
      <c r="C246" t="s">
        <v>31</v>
      </c>
      <c r="D246" t="s">
        <v>13</v>
      </c>
      <c r="E246" t="s">
        <v>14</v>
      </c>
      <c r="F246" t="s">
        <v>20</v>
      </c>
      <c r="G246" s="7">
        <v>45169</v>
      </c>
      <c r="H246">
        <v>457</v>
      </c>
      <c r="I246">
        <v>48.08</v>
      </c>
      <c r="J246">
        <v>326.42</v>
      </c>
      <c r="K246">
        <v>21972.560000000001</v>
      </c>
      <c r="M246">
        <f t="shared" si="6"/>
        <v>21972.559999999998</v>
      </c>
      <c r="N246" s="11" t="str">
        <f t="shared" si="7"/>
        <v>True</v>
      </c>
    </row>
    <row r="247" spans="1:14" x14ac:dyDescent="0.45">
      <c r="A247" t="s">
        <v>272</v>
      </c>
      <c r="B247" t="s">
        <v>22</v>
      </c>
      <c r="C247" t="s">
        <v>18</v>
      </c>
      <c r="D247" t="s">
        <v>19</v>
      </c>
      <c r="E247" t="s">
        <v>14</v>
      </c>
      <c r="F247" t="s">
        <v>28</v>
      </c>
      <c r="G247" s="7">
        <v>45170</v>
      </c>
      <c r="H247">
        <v>437</v>
      </c>
      <c r="I247">
        <v>408.8</v>
      </c>
      <c r="J247">
        <v>246.76</v>
      </c>
      <c r="K247">
        <v>178645.6</v>
      </c>
      <c r="M247">
        <f t="shared" si="6"/>
        <v>178645.6</v>
      </c>
      <c r="N247" s="11" t="str">
        <f t="shared" si="7"/>
        <v>True</v>
      </c>
    </row>
    <row r="248" spans="1:14" x14ac:dyDescent="0.45">
      <c r="A248" t="s">
        <v>273</v>
      </c>
      <c r="B248" t="s">
        <v>11</v>
      </c>
      <c r="C248" t="s">
        <v>26</v>
      </c>
      <c r="D248" t="s">
        <v>27</v>
      </c>
      <c r="E248" t="s">
        <v>14</v>
      </c>
      <c r="F248" t="s">
        <v>15</v>
      </c>
      <c r="G248" s="7">
        <v>45171</v>
      </c>
      <c r="H248">
        <v>190</v>
      </c>
      <c r="I248">
        <v>189.89</v>
      </c>
      <c r="J248">
        <v>275.77999999999997</v>
      </c>
      <c r="K248">
        <v>36079.1</v>
      </c>
      <c r="M248">
        <f t="shared" si="6"/>
        <v>36079.1</v>
      </c>
      <c r="N248" s="11" t="str">
        <f t="shared" si="7"/>
        <v>True</v>
      </c>
    </row>
    <row r="249" spans="1:14" x14ac:dyDescent="0.45">
      <c r="A249" t="s">
        <v>274</v>
      </c>
      <c r="B249" t="s">
        <v>48</v>
      </c>
      <c r="C249" t="s">
        <v>50</v>
      </c>
      <c r="D249" t="s">
        <v>42</v>
      </c>
      <c r="E249" t="s">
        <v>24</v>
      </c>
      <c r="F249" t="s">
        <v>28</v>
      </c>
      <c r="G249" s="7">
        <v>45172</v>
      </c>
      <c r="H249">
        <v>33</v>
      </c>
      <c r="I249">
        <v>265.62</v>
      </c>
      <c r="J249">
        <v>151.35</v>
      </c>
      <c r="K249">
        <v>8765.4600000000009</v>
      </c>
      <c r="M249">
        <f t="shared" si="6"/>
        <v>8765.4600000000009</v>
      </c>
      <c r="N249" s="11" t="str">
        <f t="shared" si="7"/>
        <v>True</v>
      </c>
    </row>
    <row r="250" spans="1:14" x14ac:dyDescent="0.45">
      <c r="A250" t="s">
        <v>275</v>
      </c>
      <c r="B250" t="s">
        <v>22</v>
      </c>
      <c r="C250" t="s">
        <v>26</v>
      </c>
      <c r="D250" t="s">
        <v>42</v>
      </c>
      <c r="E250" t="s">
        <v>14</v>
      </c>
      <c r="F250" t="s">
        <v>15</v>
      </c>
      <c r="G250" s="7">
        <v>45173</v>
      </c>
      <c r="H250">
        <v>325</v>
      </c>
      <c r="I250">
        <v>60.59</v>
      </c>
      <c r="J250">
        <v>216.4</v>
      </c>
      <c r="K250">
        <v>19691.75</v>
      </c>
      <c r="M250">
        <f t="shared" si="6"/>
        <v>19691.75</v>
      </c>
      <c r="N250" s="11" t="str">
        <f t="shared" si="7"/>
        <v>True</v>
      </c>
    </row>
    <row r="251" spans="1:14" x14ac:dyDescent="0.45">
      <c r="A251" t="s">
        <v>276</v>
      </c>
      <c r="B251" t="s">
        <v>22</v>
      </c>
      <c r="C251" t="s">
        <v>26</v>
      </c>
      <c r="D251" t="s">
        <v>27</v>
      </c>
      <c r="E251" t="s">
        <v>24</v>
      </c>
      <c r="F251" t="s">
        <v>15</v>
      </c>
      <c r="G251" s="7">
        <v>45174</v>
      </c>
      <c r="H251">
        <v>387</v>
      </c>
      <c r="I251">
        <v>6.28</v>
      </c>
      <c r="J251">
        <v>210.62</v>
      </c>
      <c r="K251">
        <v>2430.36</v>
      </c>
      <c r="M251">
        <f t="shared" si="6"/>
        <v>2430.36</v>
      </c>
      <c r="N251" s="11" t="str">
        <f t="shared" si="7"/>
        <v>True</v>
      </c>
    </row>
    <row r="252" spans="1:14" x14ac:dyDescent="0.45">
      <c r="A252" t="s">
        <v>277</v>
      </c>
      <c r="B252" t="s">
        <v>22</v>
      </c>
      <c r="C252" t="s">
        <v>26</v>
      </c>
      <c r="D252" t="s">
        <v>19</v>
      </c>
      <c r="E252" t="s">
        <v>14</v>
      </c>
      <c r="F252" t="s">
        <v>28</v>
      </c>
      <c r="G252" s="7">
        <v>45175</v>
      </c>
      <c r="H252">
        <v>396</v>
      </c>
      <c r="I252">
        <v>320.8</v>
      </c>
      <c r="J252">
        <v>339.52</v>
      </c>
      <c r="K252">
        <v>127036.8</v>
      </c>
      <c r="M252">
        <f t="shared" si="6"/>
        <v>127036.8</v>
      </c>
      <c r="N252" s="11" t="str">
        <f t="shared" si="7"/>
        <v>True</v>
      </c>
    </row>
    <row r="253" spans="1:14" x14ac:dyDescent="0.45">
      <c r="A253" t="s">
        <v>278</v>
      </c>
      <c r="B253" t="s">
        <v>11</v>
      </c>
      <c r="C253" t="s">
        <v>26</v>
      </c>
      <c r="D253" t="s">
        <v>42</v>
      </c>
      <c r="E253" t="s">
        <v>14</v>
      </c>
      <c r="F253" t="s">
        <v>15</v>
      </c>
      <c r="G253" s="7">
        <v>45176</v>
      </c>
      <c r="H253">
        <v>413</v>
      </c>
      <c r="I253">
        <v>260.01</v>
      </c>
      <c r="J253">
        <v>336.31</v>
      </c>
      <c r="K253">
        <v>107384.13</v>
      </c>
      <c r="M253">
        <f t="shared" si="6"/>
        <v>107384.12999999999</v>
      </c>
      <c r="N253" s="11" t="str">
        <f t="shared" si="7"/>
        <v>True</v>
      </c>
    </row>
    <row r="254" spans="1:14" x14ac:dyDescent="0.45">
      <c r="A254" t="s">
        <v>279</v>
      </c>
      <c r="B254" t="s">
        <v>48</v>
      </c>
      <c r="C254" t="s">
        <v>31</v>
      </c>
      <c r="D254" t="s">
        <v>42</v>
      </c>
      <c r="E254" t="s">
        <v>14</v>
      </c>
      <c r="F254" t="s">
        <v>15</v>
      </c>
      <c r="G254" s="7">
        <v>45177</v>
      </c>
      <c r="H254">
        <v>248.5</v>
      </c>
      <c r="I254">
        <v>298.8</v>
      </c>
      <c r="J254">
        <v>333.41</v>
      </c>
      <c r="K254">
        <v>74251.8</v>
      </c>
      <c r="M254">
        <f t="shared" si="6"/>
        <v>74251.8</v>
      </c>
      <c r="N254" s="11" t="str">
        <f t="shared" si="7"/>
        <v>True</v>
      </c>
    </row>
    <row r="255" spans="1:14" x14ac:dyDescent="0.45">
      <c r="A255" t="s">
        <v>280</v>
      </c>
      <c r="B255" t="s">
        <v>22</v>
      </c>
      <c r="C255" t="s">
        <v>18</v>
      </c>
      <c r="D255" t="s">
        <v>13</v>
      </c>
      <c r="E255" t="s">
        <v>24</v>
      </c>
      <c r="F255" t="s">
        <v>20</v>
      </c>
      <c r="G255" s="7">
        <v>45178</v>
      </c>
      <c r="H255">
        <v>24</v>
      </c>
      <c r="I255">
        <v>397.9</v>
      </c>
      <c r="J255">
        <v>6.39</v>
      </c>
      <c r="K255">
        <v>9549.5999999999985</v>
      </c>
      <c r="M255">
        <f t="shared" si="6"/>
        <v>9549.5999999999985</v>
      </c>
      <c r="N255" s="11" t="str">
        <f t="shared" si="7"/>
        <v>True</v>
      </c>
    </row>
    <row r="256" spans="1:14" x14ac:dyDescent="0.45">
      <c r="A256" t="s">
        <v>281</v>
      </c>
      <c r="B256" t="s">
        <v>17</v>
      </c>
      <c r="C256" t="s">
        <v>12</v>
      </c>
      <c r="D256" t="s">
        <v>13</v>
      </c>
      <c r="E256" t="s">
        <v>14</v>
      </c>
      <c r="F256" t="s">
        <v>15</v>
      </c>
      <c r="G256" s="7">
        <v>45179</v>
      </c>
      <c r="H256">
        <v>162</v>
      </c>
      <c r="I256">
        <v>325.07</v>
      </c>
      <c r="J256">
        <v>300.32</v>
      </c>
      <c r="K256">
        <v>52661.34</v>
      </c>
      <c r="M256">
        <f t="shared" si="6"/>
        <v>52661.34</v>
      </c>
      <c r="N256" s="11" t="str">
        <f t="shared" si="7"/>
        <v>True</v>
      </c>
    </row>
    <row r="257" spans="1:14" x14ac:dyDescent="0.45">
      <c r="A257" t="s">
        <v>282</v>
      </c>
      <c r="B257" t="s">
        <v>22</v>
      </c>
      <c r="C257" t="s">
        <v>26</v>
      </c>
      <c r="D257" t="s">
        <v>42</v>
      </c>
      <c r="E257" t="s">
        <v>24</v>
      </c>
      <c r="F257" t="s">
        <v>28</v>
      </c>
      <c r="G257" s="7">
        <v>45180</v>
      </c>
      <c r="H257">
        <v>231</v>
      </c>
      <c r="I257">
        <v>91.51</v>
      </c>
      <c r="J257">
        <v>303.95</v>
      </c>
      <c r="K257">
        <v>21138.81</v>
      </c>
      <c r="M257">
        <f t="shared" si="6"/>
        <v>21138.81</v>
      </c>
      <c r="N257" s="11" t="str">
        <f t="shared" si="7"/>
        <v>True</v>
      </c>
    </row>
    <row r="258" spans="1:14" x14ac:dyDescent="0.45">
      <c r="A258" t="s">
        <v>283</v>
      </c>
      <c r="B258" t="s">
        <v>22</v>
      </c>
      <c r="C258" t="s">
        <v>50</v>
      </c>
      <c r="D258" t="s">
        <v>19</v>
      </c>
      <c r="E258" t="s">
        <v>24</v>
      </c>
      <c r="F258" t="s">
        <v>28</v>
      </c>
      <c r="G258" s="7">
        <v>45181</v>
      </c>
      <c r="H258">
        <v>215</v>
      </c>
      <c r="I258">
        <v>183.58</v>
      </c>
      <c r="J258">
        <v>271.99</v>
      </c>
      <c r="K258">
        <v>39469.699999999997</v>
      </c>
      <c r="M258">
        <f t="shared" si="6"/>
        <v>39469.700000000004</v>
      </c>
      <c r="N258" s="11" t="str">
        <f t="shared" si="7"/>
        <v>True</v>
      </c>
    </row>
    <row r="259" spans="1:14" x14ac:dyDescent="0.45">
      <c r="A259" t="s">
        <v>284</v>
      </c>
      <c r="B259" t="s">
        <v>11</v>
      </c>
      <c r="C259" t="s">
        <v>26</v>
      </c>
      <c r="D259" t="s">
        <v>27</v>
      </c>
      <c r="E259" t="s">
        <v>24</v>
      </c>
      <c r="F259" t="s">
        <v>15</v>
      </c>
      <c r="G259" s="7">
        <v>45182</v>
      </c>
      <c r="H259">
        <v>464</v>
      </c>
      <c r="I259">
        <v>453.42</v>
      </c>
      <c r="J259">
        <v>302.99</v>
      </c>
      <c r="K259">
        <v>210386.88</v>
      </c>
      <c r="M259">
        <f t="shared" si="6"/>
        <v>210386.88</v>
      </c>
      <c r="N259" s="11" t="str">
        <f t="shared" si="7"/>
        <v>True</v>
      </c>
    </row>
    <row r="260" spans="1:14" x14ac:dyDescent="0.45">
      <c r="A260" t="s">
        <v>285</v>
      </c>
      <c r="B260" t="s">
        <v>11</v>
      </c>
      <c r="C260" t="s">
        <v>50</v>
      </c>
      <c r="D260" t="s">
        <v>23</v>
      </c>
      <c r="E260" t="s">
        <v>14</v>
      </c>
      <c r="F260" t="s">
        <v>20</v>
      </c>
      <c r="G260" s="7">
        <v>45183</v>
      </c>
      <c r="H260">
        <v>282</v>
      </c>
      <c r="I260">
        <v>255.39500000000001</v>
      </c>
      <c r="J260">
        <v>337.1</v>
      </c>
      <c r="K260">
        <v>72021.39</v>
      </c>
      <c r="M260">
        <f t="shared" si="6"/>
        <v>72021.39</v>
      </c>
      <c r="N260" s="11" t="str">
        <f t="shared" si="7"/>
        <v>True</v>
      </c>
    </row>
    <row r="261" spans="1:14" x14ac:dyDescent="0.45">
      <c r="A261" t="s">
        <v>286</v>
      </c>
      <c r="B261" t="s">
        <v>48</v>
      </c>
      <c r="C261" t="s">
        <v>31</v>
      </c>
      <c r="D261" t="s">
        <v>42</v>
      </c>
      <c r="E261" t="s">
        <v>14</v>
      </c>
      <c r="F261" t="s">
        <v>20</v>
      </c>
      <c r="G261" s="7">
        <v>45184</v>
      </c>
      <c r="H261">
        <v>391</v>
      </c>
      <c r="I261">
        <v>280.54000000000002</v>
      </c>
      <c r="J261">
        <v>189.19</v>
      </c>
      <c r="K261">
        <v>109691.14</v>
      </c>
      <c r="M261">
        <f t="shared" ref="M261:M324" si="8">$H261*$I261</f>
        <v>109691.14000000001</v>
      </c>
      <c r="N261" s="11" t="str">
        <f t="shared" ref="N261:N324" si="9">IF(K261=M261,"True","False")</f>
        <v>True</v>
      </c>
    </row>
    <row r="262" spans="1:14" x14ac:dyDescent="0.45">
      <c r="A262" t="s">
        <v>287</v>
      </c>
      <c r="B262" t="s">
        <v>17</v>
      </c>
      <c r="C262" t="s">
        <v>50</v>
      </c>
      <c r="D262" t="s">
        <v>13</v>
      </c>
      <c r="E262" t="s">
        <v>14</v>
      </c>
      <c r="F262" t="s">
        <v>15</v>
      </c>
      <c r="G262" s="7">
        <v>45185</v>
      </c>
      <c r="H262">
        <v>245</v>
      </c>
      <c r="I262">
        <v>131.54</v>
      </c>
      <c r="J262">
        <v>201.82</v>
      </c>
      <c r="K262">
        <v>32227.3</v>
      </c>
      <c r="M262">
        <f t="shared" si="8"/>
        <v>32227.3</v>
      </c>
      <c r="N262" s="11" t="str">
        <f t="shared" si="9"/>
        <v>True</v>
      </c>
    </row>
    <row r="263" spans="1:14" x14ac:dyDescent="0.45">
      <c r="A263" t="s">
        <v>288</v>
      </c>
      <c r="B263" t="s">
        <v>11</v>
      </c>
      <c r="C263" t="s">
        <v>12</v>
      </c>
      <c r="D263" t="s">
        <v>27</v>
      </c>
      <c r="E263" t="s">
        <v>14</v>
      </c>
      <c r="F263" t="s">
        <v>15</v>
      </c>
      <c r="G263" s="7">
        <v>45186</v>
      </c>
      <c r="H263">
        <v>349</v>
      </c>
      <c r="I263">
        <v>154.52000000000001</v>
      </c>
      <c r="J263">
        <v>51.64</v>
      </c>
      <c r="K263">
        <v>53927.48</v>
      </c>
      <c r="M263">
        <f t="shared" si="8"/>
        <v>53927.48</v>
      </c>
      <c r="N263" s="11" t="str">
        <f t="shared" si="9"/>
        <v>True</v>
      </c>
    </row>
    <row r="264" spans="1:14" x14ac:dyDescent="0.45">
      <c r="A264" t="s">
        <v>289</v>
      </c>
      <c r="B264" t="s">
        <v>22</v>
      </c>
      <c r="C264" t="s">
        <v>18</v>
      </c>
      <c r="D264" t="s">
        <v>19</v>
      </c>
      <c r="E264" t="s">
        <v>24</v>
      </c>
      <c r="F264" t="s">
        <v>28</v>
      </c>
      <c r="G264" s="7">
        <v>45187</v>
      </c>
      <c r="H264">
        <v>237</v>
      </c>
      <c r="I264">
        <v>255.39500000000001</v>
      </c>
      <c r="J264">
        <v>155.38</v>
      </c>
      <c r="K264">
        <v>60528.615000000013</v>
      </c>
      <c r="M264">
        <f t="shared" si="8"/>
        <v>60528.615000000005</v>
      </c>
      <c r="N264" s="11" t="str">
        <f t="shared" si="9"/>
        <v>True</v>
      </c>
    </row>
    <row r="265" spans="1:14" x14ac:dyDescent="0.45">
      <c r="A265" t="s">
        <v>290</v>
      </c>
      <c r="B265" t="s">
        <v>48</v>
      </c>
      <c r="C265" t="s">
        <v>50</v>
      </c>
      <c r="D265" t="s">
        <v>27</v>
      </c>
      <c r="E265" t="s">
        <v>24</v>
      </c>
      <c r="F265" t="s">
        <v>15</v>
      </c>
      <c r="G265" s="7">
        <v>45188</v>
      </c>
      <c r="H265">
        <v>18</v>
      </c>
      <c r="I265">
        <v>426.33</v>
      </c>
      <c r="J265">
        <v>258.06</v>
      </c>
      <c r="K265">
        <v>7673.94</v>
      </c>
      <c r="M265">
        <f t="shared" si="8"/>
        <v>7673.94</v>
      </c>
      <c r="N265" s="11" t="str">
        <f t="shared" si="9"/>
        <v>True</v>
      </c>
    </row>
    <row r="266" spans="1:14" x14ac:dyDescent="0.45">
      <c r="A266" t="s">
        <v>291</v>
      </c>
      <c r="B266" t="s">
        <v>22</v>
      </c>
      <c r="C266" t="s">
        <v>50</v>
      </c>
      <c r="D266" t="s">
        <v>42</v>
      </c>
      <c r="E266" t="s">
        <v>24</v>
      </c>
      <c r="F266" t="s">
        <v>20</v>
      </c>
      <c r="G266" s="7">
        <v>45189</v>
      </c>
      <c r="H266">
        <v>175</v>
      </c>
      <c r="I266">
        <v>337.36</v>
      </c>
      <c r="J266">
        <v>312.60000000000002</v>
      </c>
      <c r="K266">
        <v>59038</v>
      </c>
      <c r="M266">
        <f t="shared" si="8"/>
        <v>59038</v>
      </c>
      <c r="N266" s="11" t="str">
        <f t="shared" si="9"/>
        <v>True</v>
      </c>
    </row>
    <row r="267" spans="1:14" x14ac:dyDescent="0.45">
      <c r="A267" t="s">
        <v>292</v>
      </c>
      <c r="B267" t="s">
        <v>22</v>
      </c>
      <c r="C267" t="s">
        <v>18</v>
      </c>
      <c r="D267" t="s">
        <v>13</v>
      </c>
      <c r="E267" t="s">
        <v>14</v>
      </c>
      <c r="F267" t="s">
        <v>15</v>
      </c>
      <c r="G267" s="7">
        <v>45190</v>
      </c>
      <c r="H267">
        <v>441</v>
      </c>
      <c r="I267">
        <v>405.72</v>
      </c>
      <c r="J267">
        <v>88.45</v>
      </c>
      <c r="K267">
        <v>178922.52</v>
      </c>
      <c r="M267">
        <f t="shared" si="8"/>
        <v>178922.52000000002</v>
      </c>
      <c r="N267" s="11" t="str">
        <f t="shared" si="9"/>
        <v>True</v>
      </c>
    </row>
    <row r="268" spans="1:14" x14ac:dyDescent="0.45">
      <c r="A268" t="s">
        <v>293</v>
      </c>
      <c r="B268" t="s">
        <v>11</v>
      </c>
      <c r="C268" t="s">
        <v>12</v>
      </c>
      <c r="D268" t="s">
        <v>23</v>
      </c>
      <c r="E268" t="s">
        <v>24</v>
      </c>
      <c r="F268" t="s">
        <v>28</v>
      </c>
      <c r="G268" s="7">
        <v>45191</v>
      </c>
      <c r="H268">
        <v>453</v>
      </c>
      <c r="I268">
        <v>384.49</v>
      </c>
      <c r="J268">
        <v>56.85</v>
      </c>
      <c r="K268">
        <v>174173.97</v>
      </c>
      <c r="M268">
        <f t="shared" si="8"/>
        <v>174173.97</v>
      </c>
      <c r="N268" s="11" t="str">
        <f t="shared" si="9"/>
        <v>True</v>
      </c>
    </row>
    <row r="269" spans="1:14" x14ac:dyDescent="0.45">
      <c r="A269" t="s">
        <v>294</v>
      </c>
      <c r="B269" t="s">
        <v>48</v>
      </c>
      <c r="C269" t="s">
        <v>26</v>
      </c>
      <c r="D269" t="s">
        <v>27</v>
      </c>
      <c r="E269" t="s">
        <v>14</v>
      </c>
      <c r="F269" t="s">
        <v>28</v>
      </c>
      <c r="G269" s="7">
        <v>45192</v>
      </c>
      <c r="H269">
        <v>328</v>
      </c>
      <c r="I269">
        <v>79.099999999999994</v>
      </c>
      <c r="J269">
        <v>265.89</v>
      </c>
      <c r="K269">
        <v>25944.799999999999</v>
      </c>
      <c r="M269">
        <f t="shared" si="8"/>
        <v>25944.799999999999</v>
      </c>
      <c r="N269" s="11" t="str">
        <f t="shared" si="9"/>
        <v>True</v>
      </c>
    </row>
    <row r="270" spans="1:14" x14ac:dyDescent="0.45">
      <c r="A270" t="s">
        <v>295</v>
      </c>
      <c r="B270" t="s">
        <v>17</v>
      </c>
      <c r="C270" t="s">
        <v>50</v>
      </c>
      <c r="D270" t="s">
        <v>42</v>
      </c>
      <c r="E270" t="s">
        <v>24</v>
      </c>
      <c r="F270" t="s">
        <v>28</v>
      </c>
      <c r="G270" s="7">
        <v>45193</v>
      </c>
      <c r="H270">
        <v>223</v>
      </c>
      <c r="I270">
        <v>214.85</v>
      </c>
      <c r="J270">
        <v>2.75</v>
      </c>
      <c r="K270">
        <v>47911.55</v>
      </c>
      <c r="M270">
        <f t="shared" si="8"/>
        <v>47911.549999999996</v>
      </c>
      <c r="N270" s="11" t="str">
        <f t="shared" si="9"/>
        <v>True</v>
      </c>
    </row>
    <row r="271" spans="1:14" x14ac:dyDescent="0.45">
      <c r="A271" t="s">
        <v>296</v>
      </c>
      <c r="B271" t="s">
        <v>17</v>
      </c>
      <c r="C271" t="s">
        <v>18</v>
      </c>
      <c r="D271" t="s">
        <v>13</v>
      </c>
      <c r="E271" t="s">
        <v>14</v>
      </c>
      <c r="F271" t="s">
        <v>28</v>
      </c>
      <c r="G271" s="7">
        <v>45194</v>
      </c>
      <c r="H271">
        <v>126</v>
      </c>
      <c r="I271">
        <v>80.73</v>
      </c>
      <c r="J271">
        <v>72.989999999999995</v>
      </c>
      <c r="K271">
        <v>10171.98</v>
      </c>
      <c r="M271">
        <f t="shared" si="8"/>
        <v>10171.980000000001</v>
      </c>
      <c r="N271" s="11" t="str">
        <f t="shared" si="9"/>
        <v>True</v>
      </c>
    </row>
    <row r="272" spans="1:14" x14ac:dyDescent="0.45">
      <c r="A272" t="s">
        <v>297</v>
      </c>
      <c r="B272" t="s">
        <v>11</v>
      </c>
      <c r="C272" t="s">
        <v>31</v>
      </c>
      <c r="D272" t="s">
        <v>19</v>
      </c>
      <c r="E272" t="s">
        <v>14</v>
      </c>
      <c r="F272" t="s">
        <v>28</v>
      </c>
      <c r="G272" s="7">
        <v>45195</v>
      </c>
      <c r="H272">
        <v>395</v>
      </c>
      <c r="I272">
        <v>121.44</v>
      </c>
      <c r="J272">
        <v>13.57</v>
      </c>
      <c r="K272">
        <v>47968.800000000003</v>
      </c>
      <c r="M272">
        <f t="shared" si="8"/>
        <v>47968.799999999996</v>
      </c>
      <c r="N272" s="11" t="str">
        <f t="shared" si="9"/>
        <v>True</v>
      </c>
    </row>
    <row r="273" spans="1:14" x14ac:dyDescent="0.45">
      <c r="A273" t="s">
        <v>298</v>
      </c>
      <c r="B273" t="s">
        <v>11</v>
      </c>
      <c r="C273" t="s">
        <v>18</v>
      </c>
      <c r="D273" t="s">
        <v>27</v>
      </c>
      <c r="E273" t="s">
        <v>24</v>
      </c>
      <c r="F273" t="s">
        <v>15</v>
      </c>
      <c r="G273" s="7">
        <v>45196</v>
      </c>
      <c r="H273">
        <v>353</v>
      </c>
      <c r="I273">
        <v>435.28</v>
      </c>
      <c r="J273">
        <v>68.42</v>
      </c>
      <c r="K273">
        <v>153653.84</v>
      </c>
      <c r="M273">
        <f t="shared" si="8"/>
        <v>153653.84</v>
      </c>
      <c r="N273" s="11" t="str">
        <f t="shared" si="9"/>
        <v>True</v>
      </c>
    </row>
    <row r="274" spans="1:14" x14ac:dyDescent="0.45">
      <c r="A274" t="s">
        <v>299</v>
      </c>
      <c r="B274" t="s">
        <v>48</v>
      </c>
      <c r="C274" t="s">
        <v>31</v>
      </c>
      <c r="D274" t="s">
        <v>27</v>
      </c>
      <c r="E274" t="s">
        <v>24</v>
      </c>
      <c r="F274" t="s">
        <v>15</v>
      </c>
      <c r="G274" s="7">
        <v>45197</v>
      </c>
      <c r="H274">
        <v>81</v>
      </c>
      <c r="I274">
        <v>239.08</v>
      </c>
      <c r="J274">
        <v>74.17</v>
      </c>
      <c r="K274">
        <v>19365.48</v>
      </c>
      <c r="M274">
        <f t="shared" si="8"/>
        <v>19365.48</v>
      </c>
      <c r="N274" s="11" t="str">
        <f t="shared" si="9"/>
        <v>True</v>
      </c>
    </row>
    <row r="275" spans="1:14" x14ac:dyDescent="0.45">
      <c r="A275" t="s">
        <v>300</v>
      </c>
      <c r="B275" t="s">
        <v>17</v>
      </c>
      <c r="C275" t="s">
        <v>12</v>
      </c>
      <c r="D275" t="s">
        <v>23</v>
      </c>
      <c r="E275" t="s">
        <v>24</v>
      </c>
      <c r="F275" t="s">
        <v>15</v>
      </c>
      <c r="G275" s="7">
        <v>45198</v>
      </c>
      <c r="H275">
        <v>404</v>
      </c>
      <c r="I275">
        <v>270</v>
      </c>
      <c r="J275">
        <v>156.29</v>
      </c>
      <c r="K275">
        <v>109080</v>
      </c>
      <c r="M275">
        <f t="shared" si="8"/>
        <v>109080</v>
      </c>
      <c r="N275" s="11" t="str">
        <f t="shared" si="9"/>
        <v>True</v>
      </c>
    </row>
    <row r="276" spans="1:14" x14ac:dyDescent="0.45">
      <c r="A276" t="s">
        <v>301</v>
      </c>
      <c r="B276" t="s">
        <v>17</v>
      </c>
      <c r="C276" t="s">
        <v>26</v>
      </c>
      <c r="D276" t="s">
        <v>23</v>
      </c>
      <c r="E276" t="s">
        <v>24</v>
      </c>
      <c r="F276" t="s">
        <v>15</v>
      </c>
      <c r="G276" s="7">
        <v>45199</v>
      </c>
      <c r="H276">
        <v>73</v>
      </c>
      <c r="I276">
        <v>93.33</v>
      </c>
      <c r="J276">
        <v>162.13</v>
      </c>
      <c r="K276">
        <v>6813.09</v>
      </c>
      <c r="M276">
        <f t="shared" si="8"/>
        <v>6813.09</v>
      </c>
      <c r="N276" s="11" t="str">
        <f t="shared" si="9"/>
        <v>True</v>
      </c>
    </row>
    <row r="277" spans="1:14" x14ac:dyDescent="0.45">
      <c r="A277" t="s">
        <v>302</v>
      </c>
      <c r="B277" t="s">
        <v>17</v>
      </c>
      <c r="C277" t="s">
        <v>18</v>
      </c>
      <c r="D277" t="s">
        <v>13</v>
      </c>
      <c r="E277" t="s">
        <v>14</v>
      </c>
      <c r="F277" t="s">
        <v>28</v>
      </c>
      <c r="G277" s="7">
        <v>45200</v>
      </c>
      <c r="H277">
        <v>214</v>
      </c>
      <c r="I277">
        <v>159.57</v>
      </c>
      <c r="J277">
        <v>349.96</v>
      </c>
      <c r="K277">
        <v>34147.980000000003</v>
      </c>
      <c r="M277">
        <f t="shared" si="8"/>
        <v>34147.979999999996</v>
      </c>
      <c r="N277" s="11" t="str">
        <f t="shared" si="9"/>
        <v>True</v>
      </c>
    </row>
    <row r="278" spans="1:14" x14ac:dyDescent="0.45">
      <c r="A278" t="s">
        <v>303</v>
      </c>
      <c r="B278" t="s">
        <v>22</v>
      </c>
      <c r="C278" t="s">
        <v>50</v>
      </c>
      <c r="D278" t="s">
        <v>13</v>
      </c>
      <c r="E278" t="s">
        <v>24</v>
      </c>
      <c r="F278" t="s">
        <v>20</v>
      </c>
      <c r="G278" s="7">
        <v>45201</v>
      </c>
      <c r="H278">
        <v>218</v>
      </c>
      <c r="I278">
        <v>118.97</v>
      </c>
      <c r="J278">
        <v>205.02</v>
      </c>
      <c r="K278">
        <v>25935.46</v>
      </c>
      <c r="M278">
        <f t="shared" si="8"/>
        <v>25935.46</v>
      </c>
      <c r="N278" s="11" t="str">
        <f t="shared" si="9"/>
        <v>True</v>
      </c>
    </row>
    <row r="279" spans="1:14" x14ac:dyDescent="0.45">
      <c r="A279" t="s">
        <v>304</v>
      </c>
      <c r="B279" t="s">
        <v>17</v>
      </c>
      <c r="C279" t="s">
        <v>12</v>
      </c>
      <c r="D279" t="s">
        <v>42</v>
      </c>
      <c r="E279" t="s">
        <v>24</v>
      </c>
      <c r="F279" t="s">
        <v>15</v>
      </c>
      <c r="G279" s="7">
        <v>45202</v>
      </c>
      <c r="H279">
        <v>81</v>
      </c>
      <c r="I279">
        <v>107.06</v>
      </c>
      <c r="J279">
        <v>289.92</v>
      </c>
      <c r="K279">
        <v>8671.86</v>
      </c>
      <c r="M279">
        <f t="shared" si="8"/>
        <v>8671.86</v>
      </c>
      <c r="N279" s="11" t="str">
        <f t="shared" si="9"/>
        <v>True</v>
      </c>
    </row>
    <row r="280" spans="1:14" x14ac:dyDescent="0.45">
      <c r="A280" t="s">
        <v>305</v>
      </c>
      <c r="B280" t="s">
        <v>22</v>
      </c>
      <c r="C280" t="s">
        <v>18</v>
      </c>
      <c r="D280" t="s">
        <v>42</v>
      </c>
      <c r="E280" t="s">
        <v>24</v>
      </c>
      <c r="F280" t="s">
        <v>20</v>
      </c>
      <c r="G280" s="7">
        <v>45203</v>
      </c>
      <c r="H280">
        <v>286</v>
      </c>
      <c r="I280">
        <v>320.79000000000002</v>
      </c>
      <c r="J280">
        <v>43.45</v>
      </c>
      <c r="K280">
        <v>91745.94</v>
      </c>
      <c r="M280">
        <f t="shared" si="8"/>
        <v>91745.94</v>
      </c>
      <c r="N280" s="11" t="str">
        <f t="shared" si="9"/>
        <v>True</v>
      </c>
    </row>
    <row r="281" spans="1:14" x14ac:dyDescent="0.45">
      <c r="A281" t="s">
        <v>306</v>
      </c>
      <c r="B281" t="s">
        <v>48</v>
      </c>
      <c r="C281" t="s">
        <v>50</v>
      </c>
      <c r="D281" t="s">
        <v>13</v>
      </c>
      <c r="E281" t="s">
        <v>14</v>
      </c>
      <c r="F281" t="s">
        <v>15</v>
      </c>
      <c r="G281" s="7">
        <v>45204</v>
      </c>
      <c r="H281">
        <v>283</v>
      </c>
      <c r="I281">
        <v>132.16</v>
      </c>
      <c r="J281">
        <v>91.72</v>
      </c>
      <c r="K281">
        <v>37401.279999999999</v>
      </c>
      <c r="M281">
        <f t="shared" si="8"/>
        <v>37401.279999999999</v>
      </c>
      <c r="N281" s="11" t="str">
        <f t="shared" si="9"/>
        <v>True</v>
      </c>
    </row>
    <row r="282" spans="1:14" x14ac:dyDescent="0.45">
      <c r="A282" t="s">
        <v>307</v>
      </c>
      <c r="B282" t="s">
        <v>22</v>
      </c>
      <c r="C282" t="s">
        <v>18</v>
      </c>
      <c r="D282" t="s">
        <v>13</v>
      </c>
      <c r="E282" t="s">
        <v>14</v>
      </c>
      <c r="F282" t="s">
        <v>15</v>
      </c>
      <c r="G282" s="7">
        <v>45205</v>
      </c>
      <c r="H282">
        <v>487</v>
      </c>
      <c r="I282">
        <v>317.85000000000002</v>
      </c>
      <c r="J282">
        <v>281.77</v>
      </c>
      <c r="K282">
        <v>154792.95000000001</v>
      </c>
      <c r="M282">
        <f t="shared" si="8"/>
        <v>154792.95000000001</v>
      </c>
      <c r="N282" s="11" t="str">
        <f t="shared" si="9"/>
        <v>True</v>
      </c>
    </row>
    <row r="283" spans="1:14" x14ac:dyDescent="0.45">
      <c r="A283" t="s">
        <v>308</v>
      </c>
      <c r="B283" t="s">
        <v>48</v>
      </c>
      <c r="C283" t="s">
        <v>31</v>
      </c>
      <c r="D283" t="s">
        <v>19</v>
      </c>
      <c r="E283" t="s">
        <v>24</v>
      </c>
      <c r="F283" t="s">
        <v>20</v>
      </c>
      <c r="G283" s="7">
        <v>45206</v>
      </c>
      <c r="H283">
        <v>329</v>
      </c>
      <c r="I283">
        <v>33.94</v>
      </c>
      <c r="J283">
        <v>23.02</v>
      </c>
      <c r="K283">
        <v>11166.26</v>
      </c>
      <c r="M283">
        <f t="shared" si="8"/>
        <v>11166.259999999998</v>
      </c>
      <c r="N283" s="11" t="str">
        <f t="shared" si="9"/>
        <v>True</v>
      </c>
    </row>
    <row r="284" spans="1:14" x14ac:dyDescent="0.45">
      <c r="A284" t="s">
        <v>309</v>
      </c>
      <c r="B284" t="s">
        <v>17</v>
      </c>
      <c r="C284" t="s">
        <v>18</v>
      </c>
      <c r="D284" t="s">
        <v>23</v>
      </c>
      <c r="E284" t="s">
        <v>14</v>
      </c>
      <c r="F284" t="s">
        <v>28</v>
      </c>
      <c r="G284" s="7">
        <v>45207</v>
      </c>
      <c r="H284">
        <v>347</v>
      </c>
      <c r="I284">
        <v>75.180000000000007</v>
      </c>
      <c r="J284">
        <v>195.67</v>
      </c>
      <c r="K284">
        <v>26087.46</v>
      </c>
      <c r="M284">
        <f t="shared" si="8"/>
        <v>26087.460000000003</v>
      </c>
      <c r="N284" s="11" t="str">
        <f t="shared" si="9"/>
        <v>True</v>
      </c>
    </row>
    <row r="285" spans="1:14" x14ac:dyDescent="0.45">
      <c r="A285" t="s">
        <v>310</v>
      </c>
      <c r="B285" t="s">
        <v>17</v>
      </c>
      <c r="C285" t="s">
        <v>18</v>
      </c>
      <c r="D285" t="s">
        <v>42</v>
      </c>
      <c r="E285" t="s">
        <v>24</v>
      </c>
      <c r="F285" t="s">
        <v>15</v>
      </c>
      <c r="G285" s="7">
        <v>45208</v>
      </c>
      <c r="H285">
        <v>375</v>
      </c>
      <c r="I285">
        <v>140.9</v>
      </c>
      <c r="J285">
        <v>240.55</v>
      </c>
      <c r="K285">
        <v>52837.5</v>
      </c>
      <c r="M285">
        <f t="shared" si="8"/>
        <v>52837.5</v>
      </c>
      <c r="N285" s="11" t="str">
        <f t="shared" si="9"/>
        <v>True</v>
      </c>
    </row>
    <row r="286" spans="1:14" x14ac:dyDescent="0.45">
      <c r="A286" t="s">
        <v>311</v>
      </c>
      <c r="B286" t="s">
        <v>48</v>
      </c>
      <c r="C286" t="s">
        <v>18</v>
      </c>
      <c r="D286" t="s">
        <v>23</v>
      </c>
      <c r="E286" t="s">
        <v>14</v>
      </c>
      <c r="F286" t="s">
        <v>15</v>
      </c>
      <c r="G286" s="7">
        <v>45209</v>
      </c>
      <c r="H286">
        <v>104</v>
      </c>
      <c r="I286">
        <v>300.54000000000002</v>
      </c>
      <c r="J286">
        <v>241.65</v>
      </c>
      <c r="K286">
        <v>31256.16</v>
      </c>
      <c r="M286">
        <f t="shared" si="8"/>
        <v>31256.160000000003</v>
      </c>
      <c r="N286" s="11" t="str">
        <f t="shared" si="9"/>
        <v>True</v>
      </c>
    </row>
    <row r="287" spans="1:14" x14ac:dyDescent="0.45">
      <c r="A287" t="s">
        <v>312</v>
      </c>
      <c r="B287" t="s">
        <v>11</v>
      </c>
      <c r="C287" t="s">
        <v>12</v>
      </c>
      <c r="D287" t="s">
        <v>13</v>
      </c>
      <c r="E287" t="s">
        <v>14</v>
      </c>
      <c r="F287" t="s">
        <v>15</v>
      </c>
      <c r="G287" s="7">
        <v>45210</v>
      </c>
      <c r="H287">
        <v>175</v>
      </c>
      <c r="I287">
        <v>339.54</v>
      </c>
      <c r="J287">
        <v>11.13</v>
      </c>
      <c r="K287">
        <v>59419.5</v>
      </c>
      <c r="M287">
        <f t="shared" si="8"/>
        <v>59419.5</v>
      </c>
      <c r="N287" s="11" t="str">
        <f t="shared" si="9"/>
        <v>True</v>
      </c>
    </row>
    <row r="288" spans="1:14" x14ac:dyDescent="0.45">
      <c r="A288" t="s">
        <v>313</v>
      </c>
      <c r="B288" t="s">
        <v>48</v>
      </c>
      <c r="C288" t="s">
        <v>18</v>
      </c>
      <c r="D288" t="s">
        <v>13</v>
      </c>
      <c r="E288" t="s">
        <v>14</v>
      </c>
      <c r="F288" t="s">
        <v>20</v>
      </c>
      <c r="G288" s="7">
        <v>45211</v>
      </c>
      <c r="H288">
        <v>41</v>
      </c>
      <c r="I288">
        <v>224.14</v>
      </c>
      <c r="J288">
        <v>130.19999999999999</v>
      </c>
      <c r="K288">
        <v>9189.74</v>
      </c>
      <c r="M288">
        <f t="shared" si="8"/>
        <v>9189.74</v>
      </c>
      <c r="N288" s="11" t="str">
        <f t="shared" si="9"/>
        <v>True</v>
      </c>
    </row>
    <row r="289" spans="1:14" x14ac:dyDescent="0.45">
      <c r="A289" t="s">
        <v>314</v>
      </c>
      <c r="B289" t="s">
        <v>11</v>
      </c>
      <c r="C289" t="s">
        <v>50</v>
      </c>
      <c r="D289" t="s">
        <v>19</v>
      </c>
      <c r="E289" t="s">
        <v>14</v>
      </c>
      <c r="F289" t="s">
        <v>28</v>
      </c>
      <c r="G289" s="7">
        <v>45212</v>
      </c>
      <c r="H289">
        <v>20</v>
      </c>
      <c r="I289">
        <v>225.67</v>
      </c>
      <c r="J289">
        <v>255.32</v>
      </c>
      <c r="K289">
        <v>4513.3999999999996</v>
      </c>
      <c r="M289">
        <f t="shared" si="8"/>
        <v>4513.3999999999996</v>
      </c>
      <c r="N289" s="11" t="str">
        <f t="shared" si="9"/>
        <v>True</v>
      </c>
    </row>
    <row r="290" spans="1:14" x14ac:dyDescent="0.45">
      <c r="A290" t="s">
        <v>315</v>
      </c>
      <c r="B290" t="s">
        <v>22</v>
      </c>
      <c r="C290" t="s">
        <v>31</v>
      </c>
      <c r="D290" t="s">
        <v>27</v>
      </c>
      <c r="E290" t="s">
        <v>24</v>
      </c>
      <c r="F290" t="s">
        <v>20</v>
      </c>
      <c r="G290" s="7">
        <v>45213</v>
      </c>
      <c r="H290">
        <v>310</v>
      </c>
      <c r="I290">
        <v>363.64</v>
      </c>
      <c r="J290">
        <v>61.3</v>
      </c>
      <c r="K290">
        <v>112728.4</v>
      </c>
      <c r="M290">
        <f t="shared" si="8"/>
        <v>112728.4</v>
      </c>
      <c r="N290" s="11" t="str">
        <f t="shared" si="9"/>
        <v>True</v>
      </c>
    </row>
    <row r="291" spans="1:14" x14ac:dyDescent="0.45">
      <c r="A291" t="s">
        <v>316</v>
      </c>
      <c r="B291" t="s">
        <v>22</v>
      </c>
      <c r="C291" t="s">
        <v>31</v>
      </c>
      <c r="D291" t="s">
        <v>19</v>
      </c>
      <c r="E291" t="s">
        <v>24</v>
      </c>
      <c r="F291" t="s">
        <v>20</v>
      </c>
      <c r="G291" s="7">
        <v>45214</v>
      </c>
      <c r="H291">
        <v>226</v>
      </c>
      <c r="I291">
        <v>255.39500000000001</v>
      </c>
      <c r="J291">
        <v>278.77999999999997</v>
      </c>
      <c r="K291">
        <v>57719.27</v>
      </c>
      <c r="M291">
        <f t="shared" si="8"/>
        <v>57719.270000000004</v>
      </c>
      <c r="N291" s="11" t="str">
        <f t="shared" si="9"/>
        <v>True</v>
      </c>
    </row>
    <row r="292" spans="1:14" x14ac:dyDescent="0.45">
      <c r="A292" t="s">
        <v>317</v>
      </c>
      <c r="B292" t="s">
        <v>22</v>
      </c>
      <c r="C292" t="s">
        <v>18</v>
      </c>
      <c r="D292" t="s">
        <v>19</v>
      </c>
      <c r="E292" t="s">
        <v>24</v>
      </c>
      <c r="F292" t="s">
        <v>28</v>
      </c>
      <c r="G292" s="7">
        <v>45215</v>
      </c>
      <c r="H292">
        <v>248.5</v>
      </c>
      <c r="I292">
        <v>173.84</v>
      </c>
      <c r="J292">
        <v>298.88</v>
      </c>
      <c r="K292">
        <v>43199.24</v>
      </c>
      <c r="M292">
        <f t="shared" si="8"/>
        <v>43199.24</v>
      </c>
      <c r="N292" s="11" t="str">
        <f t="shared" si="9"/>
        <v>True</v>
      </c>
    </row>
    <row r="293" spans="1:14" x14ac:dyDescent="0.45">
      <c r="A293" t="s">
        <v>318</v>
      </c>
      <c r="B293" t="s">
        <v>17</v>
      </c>
      <c r="C293" t="s">
        <v>12</v>
      </c>
      <c r="D293" t="s">
        <v>23</v>
      </c>
      <c r="E293" t="s">
        <v>14</v>
      </c>
      <c r="F293" t="s">
        <v>20</v>
      </c>
      <c r="G293" s="7">
        <v>45216</v>
      </c>
      <c r="H293">
        <v>111</v>
      </c>
      <c r="I293">
        <v>410.26</v>
      </c>
      <c r="J293">
        <v>392.82</v>
      </c>
      <c r="K293">
        <v>45538.86</v>
      </c>
      <c r="M293">
        <f t="shared" si="8"/>
        <v>45538.86</v>
      </c>
      <c r="N293" s="11" t="str">
        <f t="shared" si="9"/>
        <v>True</v>
      </c>
    </row>
    <row r="294" spans="1:14" x14ac:dyDescent="0.45">
      <c r="A294" t="s">
        <v>319</v>
      </c>
      <c r="B294" t="s">
        <v>22</v>
      </c>
      <c r="C294" t="s">
        <v>12</v>
      </c>
      <c r="D294" t="s">
        <v>19</v>
      </c>
      <c r="E294" t="s">
        <v>24</v>
      </c>
      <c r="F294" t="s">
        <v>28</v>
      </c>
      <c r="G294" s="7">
        <v>45217</v>
      </c>
      <c r="H294">
        <v>434</v>
      </c>
      <c r="I294">
        <v>303.58999999999997</v>
      </c>
      <c r="J294">
        <v>85.52</v>
      </c>
      <c r="K294">
        <v>131758.06</v>
      </c>
      <c r="M294">
        <f t="shared" si="8"/>
        <v>131758.06</v>
      </c>
      <c r="N294" s="11" t="str">
        <f t="shared" si="9"/>
        <v>True</v>
      </c>
    </row>
    <row r="295" spans="1:14" x14ac:dyDescent="0.45">
      <c r="A295" t="s">
        <v>320</v>
      </c>
      <c r="B295" t="s">
        <v>11</v>
      </c>
      <c r="C295" t="s">
        <v>50</v>
      </c>
      <c r="D295" t="s">
        <v>42</v>
      </c>
      <c r="E295" t="s">
        <v>24</v>
      </c>
      <c r="F295" t="s">
        <v>15</v>
      </c>
      <c r="G295" s="7">
        <v>45218</v>
      </c>
      <c r="H295">
        <v>401</v>
      </c>
      <c r="I295">
        <v>171.93</v>
      </c>
      <c r="J295">
        <v>330.4</v>
      </c>
      <c r="K295">
        <v>68943.930000000008</v>
      </c>
      <c r="M295">
        <f t="shared" si="8"/>
        <v>68943.930000000008</v>
      </c>
      <c r="N295" s="11" t="str">
        <f t="shared" si="9"/>
        <v>True</v>
      </c>
    </row>
    <row r="296" spans="1:14" x14ac:dyDescent="0.45">
      <c r="A296" t="s">
        <v>321</v>
      </c>
      <c r="B296" t="s">
        <v>22</v>
      </c>
      <c r="C296" t="s">
        <v>18</v>
      </c>
      <c r="D296" t="s">
        <v>23</v>
      </c>
      <c r="E296" t="s">
        <v>24</v>
      </c>
      <c r="F296" t="s">
        <v>28</v>
      </c>
      <c r="G296" s="7">
        <v>45219</v>
      </c>
      <c r="H296">
        <v>276</v>
      </c>
      <c r="I296">
        <v>453.23</v>
      </c>
      <c r="J296">
        <v>209.08</v>
      </c>
      <c r="K296">
        <v>125091.48</v>
      </c>
      <c r="M296">
        <f t="shared" si="8"/>
        <v>125091.48000000001</v>
      </c>
      <c r="N296" s="11" t="str">
        <f t="shared" si="9"/>
        <v>True</v>
      </c>
    </row>
    <row r="297" spans="1:14" x14ac:dyDescent="0.45">
      <c r="A297" t="s">
        <v>322</v>
      </c>
      <c r="B297" t="s">
        <v>48</v>
      </c>
      <c r="C297" t="s">
        <v>31</v>
      </c>
      <c r="D297" t="s">
        <v>42</v>
      </c>
      <c r="E297" t="s">
        <v>14</v>
      </c>
      <c r="F297" t="s">
        <v>15</v>
      </c>
      <c r="G297" s="7">
        <v>45220</v>
      </c>
      <c r="H297">
        <v>248.5</v>
      </c>
      <c r="I297">
        <v>387.45</v>
      </c>
      <c r="J297">
        <v>150.63999999999999</v>
      </c>
      <c r="K297">
        <v>96281.324999999997</v>
      </c>
      <c r="M297">
        <f t="shared" si="8"/>
        <v>96281.324999999997</v>
      </c>
      <c r="N297" s="11" t="str">
        <f t="shared" si="9"/>
        <v>True</v>
      </c>
    </row>
    <row r="298" spans="1:14" x14ac:dyDescent="0.45">
      <c r="A298" t="s">
        <v>323</v>
      </c>
      <c r="B298" t="s">
        <v>48</v>
      </c>
      <c r="C298" t="s">
        <v>12</v>
      </c>
      <c r="D298" t="s">
        <v>27</v>
      </c>
      <c r="E298" t="s">
        <v>14</v>
      </c>
      <c r="F298" t="s">
        <v>20</v>
      </c>
      <c r="G298" s="7">
        <v>45221</v>
      </c>
      <c r="H298">
        <v>188</v>
      </c>
      <c r="I298">
        <v>136.12</v>
      </c>
      <c r="J298">
        <v>50.71</v>
      </c>
      <c r="K298">
        <v>25590.560000000001</v>
      </c>
      <c r="M298">
        <f t="shared" si="8"/>
        <v>25590.560000000001</v>
      </c>
      <c r="N298" s="11" t="str">
        <f t="shared" si="9"/>
        <v>True</v>
      </c>
    </row>
    <row r="299" spans="1:14" x14ac:dyDescent="0.45">
      <c r="A299" t="s">
        <v>324</v>
      </c>
      <c r="B299" t="s">
        <v>17</v>
      </c>
      <c r="C299" t="s">
        <v>18</v>
      </c>
      <c r="D299" t="s">
        <v>23</v>
      </c>
      <c r="E299" t="s">
        <v>14</v>
      </c>
      <c r="F299" t="s">
        <v>20</v>
      </c>
      <c r="G299" s="7">
        <v>45222</v>
      </c>
      <c r="H299">
        <v>97</v>
      </c>
      <c r="I299">
        <v>324.42</v>
      </c>
      <c r="J299">
        <v>294.73</v>
      </c>
      <c r="K299">
        <v>31468.74</v>
      </c>
      <c r="M299">
        <f t="shared" si="8"/>
        <v>31468.74</v>
      </c>
      <c r="N299" s="11" t="str">
        <f t="shared" si="9"/>
        <v>True</v>
      </c>
    </row>
    <row r="300" spans="1:14" x14ac:dyDescent="0.45">
      <c r="A300" t="s">
        <v>325</v>
      </c>
      <c r="B300" t="s">
        <v>48</v>
      </c>
      <c r="C300" t="s">
        <v>12</v>
      </c>
      <c r="D300" t="s">
        <v>27</v>
      </c>
      <c r="E300" t="s">
        <v>24</v>
      </c>
      <c r="F300" t="s">
        <v>15</v>
      </c>
      <c r="G300" s="7">
        <v>45223</v>
      </c>
      <c r="H300">
        <v>50</v>
      </c>
      <c r="I300">
        <v>299.89999999999998</v>
      </c>
      <c r="J300">
        <v>95.87</v>
      </c>
      <c r="K300">
        <v>14995</v>
      </c>
      <c r="M300">
        <f t="shared" si="8"/>
        <v>14994.999999999998</v>
      </c>
      <c r="N300" s="11" t="str">
        <f t="shared" si="9"/>
        <v>True</v>
      </c>
    </row>
    <row r="301" spans="1:14" x14ac:dyDescent="0.45">
      <c r="A301" t="s">
        <v>326</v>
      </c>
      <c r="B301" t="s">
        <v>11</v>
      </c>
      <c r="C301" t="s">
        <v>12</v>
      </c>
      <c r="D301" t="s">
        <v>23</v>
      </c>
      <c r="E301" t="s">
        <v>24</v>
      </c>
      <c r="F301" t="s">
        <v>20</v>
      </c>
      <c r="G301" s="7">
        <v>45224</v>
      </c>
      <c r="H301">
        <v>410</v>
      </c>
      <c r="I301">
        <v>203.59</v>
      </c>
      <c r="J301">
        <v>149.83000000000001</v>
      </c>
      <c r="K301">
        <v>83471.899999999994</v>
      </c>
      <c r="M301">
        <f t="shared" si="8"/>
        <v>83471.899999999994</v>
      </c>
      <c r="N301" s="11" t="str">
        <f t="shared" si="9"/>
        <v>True</v>
      </c>
    </row>
    <row r="302" spans="1:14" x14ac:dyDescent="0.45">
      <c r="A302" t="s">
        <v>327</v>
      </c>
      <c r="B302" t="s">
        <v>22</v>
      </c>
      <c r="C302" t="s">
        <v>31</v>
      </c>
      <c r="D302" t="s">
        <v>13</v>
      </c>
      <c r="E302" t="s">
        <v>24</v>
      </c>
      <c r="F302" t="s">
        <v>28</v>
      </c>
      <c r="G302" s="7">
        <v>45225</v>
      </c>
      <c r="H302">
        <v>85</v>
      </c>
      <c r="I302">
        <v>186.64</v>
      </c>
      <c r="J302">
        <v>26.89</v>
      </c>
      <c r="K302">
        <v>15864.4</v>
      </c>
      <c r="M302">
        <f t="shared" si="8"/>
        <v>15864.4</v>
      </c>
      <c r="N302" s="11" t="str">
        <f t="shared" si="9"/>
        <v>True</v>
      </c>
    </row>
    <row r="303" spans="1:14" x14ac:dyDescent="0.45">
      <c r="A303" t="s">
        <v>328</v>
      </c>
      <c r="B303" t="s">
        <v>17</v>
      </c>
      <c r="C303" t="s">
        <v>26</v>
      </c>
      <c r="D303" t="s">
        <v>19</v>
      </c>
      <c r="E303" t="s">
        <v>14</v>
      </c>
      <c r="F303" t="s">
        <v>15</v>
      </c>
      <c r="G303" s="7">
        <v>45226</v>
      </c>
      <c r="H303">
        <v>386</v>
      </c>
      <c r="I303">
        <v>175.06</v>
      </c>
      <c r="J303">
        <v>320.94</v>
      </c>
      <c r="K303">
        <v>67573.16</v>
      </c>
      <c r="M303">
        <f t="shared" si="8"/>
        <v>67573.16</v>
      </c>
      <c r="N303" s="11" t="str">
        <f t="shared" si="9"/>
        <v>True</v>
      </c>
    </row>
    <row r="304" spans="1:14" x14ac:dyDescent="0.45">
      <c r="A304" t="s">
        <v>329</v>
      </c>
      <c r="B304" t="s">
        <v>22</v>
      </c>
      <c r="C304" t="s">
        <v>50</v>
      </c>
      <c r="D304" t="s">
        <v>13</v>
      </c>
      <c r="E304" t="s">
        <v>14</v>
      </c>
      <c r="F304" t="s">
        <v>20</v>
      </c>
      <c r="G304" s="7">
        <v>45227</v>
      </c>
      <c r="H304">
        <v>55</v>
      </c>
      <c r="I304">
        <v>310.49</v>
      </c>
      <c r="J304">
        <v>307.10000000000002</v>
      </c>
      <c r="K304">
        <v>17076.95</v>
      </c>
      <c r="M304">
        <f t="shared" si="8"/>
        <v>17076.95</v>
      </c>
      <c r="N304" s="11" t="str">
        <f t="shared" si="9"/>
        <v>True</v>
      </c>
    </row>
    <row r="305" spans="1:14" x14ac:dyDescent="0.45">
      <c r="A305" t="s">
        <v>330</v>
      </c>
      <c r="B305" t="s">
        <v>22</v>
      </c>
      <c r="C305" t="s">
        <v>50</v>
      </c>
      <c r="D305" t="s">
        <v>27</v>
      </c>
      <c r="E305" t="s">
        <v>24</v>
      </c>
      <c r="F305" t="s">
        <v>15</v>
      </c>
      <c r="G305" s="7">
        <v>45228</v>
      </c>
      <c r="H305">
        <v>169</v>
      </c>
      <c r="I305">
        <v>223.99</v>
      </c>
      <c r="J305">
        <v>293.98</v>
      </c>
      <c r="K305">
        <v>37854.31</v>
      </c>
      <c r="M305">
        <f t="shared" si="8"/>
        <v>37854.310000000005</v>
      </c>
      <c r="N305" s="11" t="str">
        <f t="shared" si="9"/>
        <v>True</v>
      </c>
    </row>
    <row r="306" spans="1:14" x14ac:dyDescent="0.45">
      <c r="A306" t="s">
        <v>331</v>
      </c>
      <c r="B306" t="s">
        <v>11</v>
      </c>
      <c r="C306" t="s">
        <v>31</v>
      </c>
      <c r="D306" t="s">
        <v>19</v>
      </c>
      <c r="E306" t="s">
        <v>14</v>
      </c>
      <c r="F306" t="s">
        <v>28</v>
      </c>
      <c r="G306" s="7">
        <v>45229</v>
      </c>
      <c r="H306">
        <v>472</v>
      </c>
      <c r="I306">
        <v>416.77</v>
      </c>
      <c r="J306">
        <v>121.18</v>
      </c>
      <c r="K306">
        <v>196715.44</v>
      </c>
      <c r="M306">
        <f t="shared" si="8"/>
        <v>196715.44</v>
      </c>
      <c r="N306" s="11" t="str">
        <f t="shared" si="9"/>
        <v>True</v>
      </c>
    </row>
    <row r="307" spans="1:14" x14ac:dyDescent="0.45">
      <c r="A307" t="s">
        <v>332</v>
      </c>
      <c r="B307" t="s">
        <v>48</v>
      </c>
      <c r="C307" t="s">
        <v>12</v>
      </c>
      <c r="D307" t="s">
        <v>23</v>
      </c>
      <c r="E307" t="s">
        <v>14</v>
      </c>
      <c r="F307" t="s">
        <v>28</v>
      </c>
      <c r="G307" s="7">
        <v>45230</v>
      </c>
      <c r="H307">
        <v>89</v>
      </c>
      <c r="I307">
        <v>336.45</v>
      </c>
      <c r="J307">
        <v>71.05</v>
      </c>
      <c r="K307">
        <v>29944.05</v>
      </c>
      <c r="M307">
        <f t="shared" si="8"/>
        <v>29944.05</v>
      </c>
      <c r="N307" s="11" t="str">
        <f t="shared" si="9"/>
        <v>True</v>
      </c>
    </row>
    <row r="308" spans="1:14" x14ac:dyDescent="0.45">
      <c r="A308" t="s">
        <v>333</v>
      </c>
      <c r="B308" t="s">
        <v>48</v>
      </c>
      <c r="C308" t="s">
        <v>18</v>
      </c>
      <c r="D308" t="s">
        <v>19</v>
      </c>
      <c r="E308" t="s">
        <v>14</v>
      </c>
      <c r="F308" t="s">
        <v>20</v>
      </c>
      <c r="G308" s="7">
        <v>45231</v>
      </c>
      <c r="H308">
        <v>319</v>
      </c>
      <c r="I308">
        <v>39.619999999999997</v>
      </c>
      <c r="J308">
        <v>255.75</v>
      </c>
      <c r="K308">
        <v>12638.78</v>
      </c>
      <c r="M308">
        <f t="shared" si="8"/>
        <v>12638.779999999999</v>
      </c>
      <c r="N308" s="11" t="str">
        <f t="shared" si="9"/>
        <v>True</v>
      </c>
    </row>
    <row r="309" spans="1:14" x14ac:dyDescent="0.45">
      <c r="A309" t="s">
        <v>334</v>
      </c>
      <c r="B309" t="s">
        <v>22</v>
      </c>
      <c r="C309" t="s">
        <v>12</v>
      </c>
      <c r="D309" t="s">
        <v>13</v>
      </c>
      <c r="E309" t="s">
        <v>14</v>
      </c>
      <c r="F309" t="s">
        <v>28</v>
      </c>
      <c r="G309" s="7">
        <v>45232</v>
      </c>
      <c r="H309">
        <v>95</v>
      </c>
      <c r="I309">
        <v>321.88</v>
      </c>
      <c r="J309">
        <v>199.47</v>
      </c>
      <c r="K309">
        <v>30578.6</v>
      </c>
      <c r="M309">
        <f t="shared" si="8"/>
        <v>30578.6</v>
      </c>
      <c r="N309" s="11" t="str">
        <f t="shared" si="9"/>
        <v>True</v>
      </c>
    </row>
    <row r="310" spans="1:14" x14ac:dyDescent="0.45">
      <c r="A310" t="s">
        <v>335</v>
      </c>
      <c r="B310" t="s">
        <v>17</v>
      </c>
      <c r="C310" t="s">
        <v>31</v>
      </c>
      <c r="D310" t="s">
        <v>13</v>
      </c>
      <c r="E310" t="s">
        <v>24</v>
      </c>
      <c r="F310" t="s">
        <v>15</v>
      </c>
      <c r="G310" s="7">
        <v>45233</v>
      </c>
      <c r="H310">
        <v>101</v>
      </c>
      <c r="I310">
        <v>139.22</v>
      </c>
      <c r="J310">
        <v>72.94</v>
      </c>
      <c r="K310">
        <v>14061.22</v>
      </c>
      <c r="M310">
        <f t="shared" si="8"/>
        <v>14061.22</v>
      </c>
      <c r="N310" s="11" t="str">
        <f t="shared" si="9"/>
        <v>True</v>
      </c>
    </row>
    <row r="311" spans="1:14" x14ac:dyDescent="0.45">
      <c r="A311" t="s">
        <v>336</v>
      </c>
      <c r="B311" t="s">
        <v>48</v>
      </c>
      <c r="C311" t="s">
        <v>50</v>
      </c>
      <c r="D311" t="s">
        <v>13</v>
      </c>
      <c r="E311" t="s">
        <v>14</v>
      </c>
      <c r="F311" t="s">
        <v>28</v>
      </c>
      <c r="G311" s="7">
        <v>45234</v>
      </c>
      <c r="H311">
        <v>157</v>
      </c>
      <c r="I311">
        <v>255.39500000000001</v>
      </c>
      <c r="J311">
        <v>274.99</v>
      </c>
      <c r="K311">
        <v>40097.014999999999</v>
      </c>
      <c r="M311">
        <f t="shared" si="8"/>
        <v>40097.014999999999</v>
      </c>
      <c r="N311" s="11" t="str">
        <f t="shared" si="9"/>
        <v>True</v>
      </c>
    </row>
    <row r="312" spans="1:14" x14ac:dyDescent="0.45">
      <c r="A312" t="s">
        <v>337</v>
      </c>
      <c r="B312" t="s">
        <v>17</v>
      </c>
      <c r="C312" t="s">
        <v>12</v>
      </c>
      <c r="D312" t="s">
        <v>19</v>
      </c>
      <c r="E312" t="s">
        <v>14</v>
      </c>
      <c r="F312" t="s">
        <v>15</v>
      </c>
      <c r="G312" s="7">
        <v>45235</v>
      </c>
      <c r="H312">
        <v>170</v>
      </c>
      <c r="I312">
        <v>341.67</v>
      </c>
      <c r="J312">
        <v>396.47</v>
      </c>
      <c r="K312">
        <v>58083.9</v>
      </c>
      <c r="M312">
        <f t="shared" si="8"/>
        <v>58083.9</v>
      </c>
      <c r="N312" s="11" t="str">
        <f t="shared" si="9"/>
        <v>True</v>
      </c>
    </row>
    <row r="313" spans="1:14" x14ac:dyDescent="0.45">
      <c r="A313" t="s">
        <v>338</v>
      </c>
      <c r="B313" t="s">
        <v>48</v>
      </c>
      <c r="C313" t="s">
        <v>50</v>
      </c>
      <c r="D313" t="s">
        <v>42</v>
      </c>
      <c r="E313" t="s">
        <v>14</v>
      </c>
      <c r="F313" t="s">
        <v>15</v>
      </c>
      <c r="G313" s="7">
        <v>45236</v>
      </c>
      <c r="H313">
        <v>211</v>
      </c>
      <c r="I313">
        <v>119.26</v>
      </c>
      <c r="J313">
        <v>299.39</v>
      </c>
      <c r="K313">
        <v>25163.86</v>
      </c>
      <c r="M313">
        <f t="shared" si="8"/>
        <v>25163.86</v>
      </c>
      <c r="N313" s="11" t="str">
        <f t="shared" si="9"/>
        <v>True</v>
      </c>
    </row>
    <row r="314" spans="1:14" x14ac:dyDescent="0.45">
      <c r="A314" t="s">
        <v>339</v>
      </c>
      <c r="B314" t="s">
        <v>17</v>
      </c>
      <c r="C314" t="s">
        <v>18</v>
      </c>
      <c r="D314" t="s">
        <v>27</v>
      </c>
      <c r="E314" t="s">
        <v>14</v>
      </c>
      <c r="F314" t="s">
        <v>28</v>
      </c>
      <c r="G314" s="7">
        <v>45237</v>
      </c>
      <c r="H314">
        <v>433</v>
      </c>
      <c r="I314">
        <v>231.15</v>
      </c>
      <c r="J314">
        <v>296.51</v>
      </c>
      <c r="K314">
        <v>100087.95</v>
      </c>
      <c r="M314">
        <f t="shared" si="8"/>
        <v>100087.95</v>
      </c>
      <c r="N314" s="11" t="str">
        <f t="shared" si="9"/>
        <v>True</v>
      </c>
    </row>
    <row r="315" spans="1:14" x14ac:dyDescent="0.45">
      <c r="A315" t="s">
        <v>340</v>
      </c>
      <c r="B315" t="s">
        <v>11</v>
      </c>
      <c r="C315" t="s">
        <v>50</v>
      </c>
      <c r="D315" t="s">
        <v>13</v>
      </c>
      <c r="E315" t="s">
        <v>24</v>
      </c>
      <c r="F315" t="s">
        <v>20</v>
      </c>
      <c r="G315" s="7">
        <v>45238</v>
      </c>
      <c r="H315">
        <v>425</v>
      </c>
      <c r="I315">
        <v>99.21</v>
      </c>
      <c r="J315">
        <v>380.22</v>
      </c>
      <c r="K315">
        <v>42164.25</v>
      </c>
      <c r="M315">
        <f t="shared" si="8"/>
        <v>42164.25</v>
      </c>
      <c r="N315" s="11" t="str">
        <f t="shared" si="9"/>
        <v>True</v>
      </c>
    </row>
    <row r="316" spans="1:14" x14ac:dyDescent="0.45">
      <c r="A316" t="s">
        <v>341</v>
      </c>
      <c r="B316" t="s">
        <v>17</v>
      </c>
      <c r="C316" t="s">
        <v>50</v>
      </c>
      <c r="D316" t="s">
        <v>23</v>
      </c>
      <c r="E316" t="s">
        <v>24</v>
      </c>
      <c r="F316" t="s">
        <v>28</v>
      </c>
      <c r="G316" s="7">
        <v>45239</v>
      </c>
      <c r="H316">
        <v>251</v>
      </c>
      <c r="I316">
        <v>30.91</v>
      </c>
      <c r="J316">
        <v>82.77</v>
      </c>
      <c r="K316">
        <v>7758.41</v>
      </c>
      <c r="M316">
        <f t="shared" si="8"/>
        <v>7758.41</v>
      </c>
      <c r="N316" s="11" t="str">
        <f t="shared" si="9"/>
        <v>True</v>
      </c>
    </row>
    <row r="317" spans="1:14" x14ac:dyDescent="0.45">
      <c r="A317" t="s">
        <v>342</v>
      </c>
      <c r="B317" t="s">
        <v>11</v>
      </c>
      <c r="C317" t="s">
        <v>26</v>
      </c>
      <c r="D317" t="s">
        <v>19</v>
      </c>
      <c r="E317" t="s">
        <v>14</v>
      </c>
      <c r="F317" t="s">
        <v>15</v>
      </c>
      <c r="G317" s="7">
        <v>45240</v>
      </c>
      <c r="H317">
        <v>248.5</v>
      </c>
      <c r="I317">
        <v>192.35</v>
      </c>
      <c r="J317">
        <v>227.09</v>
      </c>
      <c r="K317">
        <v>47798.974999999999</v>
      </c>
      <c r="M317">
        <f t="shared" si="8"/>
        <v>47798.974999999999</v>
      </c>
      <c r="N317" s="11" t="str">
        <f t="shared" si="9"/>
        <v>True</v>
      </c>
    </row>
    <row r="318" spans="1:14" x14ac:dyDescent="0.45">
      <c r="A318" t="s">
        <v>343</v>
      </c>
      <c r="B318" t="s">
        <v>11</v>
      </c>
      <c r="C318" t="s">
        <v>26</v>
      </c>
      <c r="D318" t="s">
        <v>13</v>
      </c>
      <c r="E318" t="s">
        <v>14</v>
      </c>
      <c r="F318" t="s">
        <v>15</v>
      </c>
      <c r="G318" s="7">
        <v>45241</v>
      </c>
      <c r="H318">
        <v>11</v>
      </c>
      <c r="I318">
        <v>184.66</v>
      </c>
      <c r="J318">
        <v>391.9</v>
      </c>
      <c r="K318">
        <v>2031.26</v>
      </c>
      <c r="M318">
        <f t="shared" si="8"/>
        <v>2031.26</v>
      </c>
      <c r="N318" s="11" t="str">
        <f t="shared" si="9"/>
        <v>True</v>
      </c>
    </row>
    <row r="319" spans="1:14" x14ac:dyDescent="0.45">
      <c r="A319" t="s">
        <v>344</v>
      </c>
      <c r="B319" t="s">
        <v>17</v>
      </c>
      <c r="C319" t="s">
        <v>26</v>
      </c>
      <c r="D319" t="s">
        <v>23</v>
      </c>
      <c r="E319" t="s">
        <v>14</v>
      </c>
      <c r="F319" t="s">
        <v>28</v>
      </c>
      <c r="G319" s="7">
        <v>45242</v>
      </c>
      <c r="H319">
        <v>234</v>
      </c>
      <c r="I319">
        <v>497.76</v>
      </c>
      <c r="J319">
        <v>67.790000000000006</v>
      </c>
      <c r="K319">
        <v>116475.84</v>
      </c>
      <c r="M319">
        <f t="shared" si="8"/>
        <v>116475.84</v>
      </c>
      <c r="N319" s="11" t="str">
        <f t="shared" si="9"/>
        <v>True</v>
      </c>
    </row>
    <row r="320" spans="1:14" x14ac:dyDescent="0.45">
      <c r="A320" t="s">
        <v>345</v>
      </c>
      <c r="B320" t="s">
        <v>11</v>
      </c>
      <c r="C320" t="s">
        <v>50</v>
      </c>
      <c r="D320" t="s">
        <v>23</v>
      </c>
      <c r="E320" t="s">
        <v>14</v>
      </c>
      <c r="F320" t="s">
        <v>20</v>
      </c>
      <c r="G320" s="7">
        <v>45243</v>
      </c>
      <c r="H320">
        <v>248.5</v>
      </c>
      <c r="I320">
        <v>225.94</v>
      </c>
      <c r="J320">
        <v>280.7</v>
      </c>
      <c r="K320">
        <v>56146.09</v>
      </c>
      <c r="M320">
        <f t="shared" si="8"/>
        <v>56146.09</v>
      </c>
      <c r="N320" s="11" t="str">
        <f t="shared" si="9"/>
        <v>True</v>
      </c>
    </row>
    <row r="321" spans="1:14" x14ac:dyDescent="0.45">
      <c r="A321" t="s">
        <v>346</v>
      </c>
      <c r="B321" t="s">
        <v>22</v>
      </c>
      <c r="C321" t="s">
        <v>31</v>
      </c>
      <c r="D321" t="s">
        <v>42</v>
      </c>
      <c r="E321" t="s">
        <v>14</v>
      </c>
      <c r="F321" t="s">
        <v>20</v>
      </c>
      <c r="G321" s="7">
        <v>45244</v>
      </c>
      <c r="H321">
        <v>242</v>
      </c>
      <c r="I321">
        <v>170.12</v>
      </c>
      <c r="J321">
        <v>235.15</v>
      </c>
      <c r="K321">
        <v>41169.040000000001</v>
      </c>
      <c r="M321">
        <f t="shared" si="8"/>
        <v>41169.040000000001</v>
      </c>
      <c r="N321" s="11" t="str">
        <f t="shared" si="9"/>
        <v>True</v>
      </c>
    </row>
    <row r="322" spans="1:14" x14ac:dyDescent="0.45">
      <c r="A322" t="s">
        <v>347</v>
      </c>
      <c r="B322" t="s">
        <v>11</v>
      </c>
      <c r="C322" t="s">
        <v>50</v>
      </c>
      <c r="D322" t="s">
        <v>27</v>
      </c>
      <c r="E322" t="s">
        <v>14</v>
      </c>
      <c r="F322" t="s">
        <v>15</v>
      </c>
      <c r="G322" s="7">
        <v>45245</v>
      </c>
      <c r="H322">
        <v>470</v>
      </c>
      <c r="I322">
        <v>292.33999999999997</v>
      </c>
      <c r="J322">
        <v>235.42</v>
      </c>
      <c r="K322">
        <v>137399.79999999999</v>
      </c>
      <c r="M322">
        <f t="shared" si="8"/>
        <v>137399.79999999999</v>
      </c>
      <c r="N322" s="11" t="str">
        <f t="shared" si="9"/>
        <v>True</v>
      </c>
    </row>
    <row r="323" spans="1:14" x14ac:dyDescent="0.45">
      <c r="A323" t="s">
        <v>348</v>
      </c>
      <c r="B323" t="s">
        <v>48</v>
      </c>
      <c r="C323" t="s">
        <v>31</v>
      </c>
      <c r="D323" t="s">
        <v>27</v>
      </c>
      <c r="E323" t="s">
        <v>24</v>
      </c>
      <c r="F323" t="s">
        <v>15</v>
      </c>
      <c r="G323" s="7">
        <v>45246</v>
      </c>
      <c r="H323">
        <v>423</v>
      </c>
      <c r="I323">
        <v>48.94</v>
      </c>
      <c r="J323">
        <v>279.67</v>
      </c>
      <c r="K323">
        <v>20701.62</v>
      </c>
      <c r="M323">
        <f t="shared" si="8"/>
        <v>20701.62</v>
      </c>
      <c r="N323" s="11" t="str">
        <f t="shared" si="9"/>
        <v>True</v>
      </c>
    </row>
    <row r="324" spans="1:14" x14ac:dyDescent="0.45">
      <c r="A324" t="s">
        <v>349</v>
      </c>
      <c r="B324" t="s">
        <v>17</v>
      </c>
      <c r="C324" t="s">
        <v>31</v>
      </c>
      <c r="D324" t="s">
        <v>13</v>
      </c>
      <c r="E324" t="s">
        <v>14</v>
      </c>
      <c r="F324" t="s">
        <v>20</v>
      </c>
      <c r="G324" s="7">
        <v>45247</v>
      </c>
      <c r="H324">
        <v>426</v>
      </c>
      <c r="I324">
        <v>481.02</v>
      </c>
      <c r="J324">
        <v>371.99</v>
      </c>
      <c r="K324">
        <v>204914.52</v>
      </c>
      <c r="M324">
        <f t="shared" si="8"/>
        <v>204914.52</v>
      </c>
      <c r="N324" s="11" t="str">
        <f t="shared" si="9"/>
        <v>True</v>
      </c>
    </row>
    <row r="325" spans="1:14" x14ac:dyDescent="0.45">
      <c r="A325" t="s">
        <v>350</v>
      </c>
      <c r="B325" t="s">
        <v>22</v>
      </c>
      <c r="C325" t="s">
        <v>26</v>
      </c>
      <c r="D325" t="s">
        <v>27</v>
      </c>
      <c r="E325" t="s">
        <v>24</v>
      </c>
      <c r="F325" t="s">
        <v>28</v>
      </c>
      <c r="G325" s="7">
        <v>45248</v>
      </c>
      <c r="H325">
        <v>86</v>
      </c>
      <c r="I325">
        <v>319.31</v>
      </c>
      <c r="J325">
        <v>313.47000000000003</v>
      </c>
      <c r="K325">
        <v>27460.66</v>
      </c>
      <c r="M325">
        <f t="shared" ref="M325:M353" si="10">$H325*$I325</f>
        <v>27460.66</v>
      </c>
      <c r="N325" s="11" t="str">
        <f t="shared" ref="N325:N353" si="11">IF(K325=M325,"True","False")</f>
        <v>True</v>
      </c>
    </row>
    <row r="326" spans="1:14" x14ac:dyDescent="0.45">
      <c r="A326" t="s">
        <v>351</v>
      </c>
      <c r="B326" t="s">
        <v>17</v>
      </c>
      <c r="C326" t="s">
        <v>12</v>
      </c>
      <c r="D326" t="s">
        <v>19</v>
      </c>
      <c r="E326" t="s">
        <v>24</v>
      </c>
      <c r="F326" t="s">
        <v>15</v>
      </c>
      <c r="G326" s="7">
        <v>45249</v>
      </c>
      <c r="H326">
        <v>125</v>
      </c>
      <c r="I326">
        <v>378.64</v>
      </c>
      <c r="J326">
        <v>24.34</v>
      </c>
      <c r="K326">
        <v>47330</v>
      </c>
      <c r="M326">
        <f t="shared" si="10"/>
        <v>47330</v>
      </c>
      <c r="N326" s="11" t="str">
        <f t="shared" si="11"/>
        <v>True</v>
      </c>
    </row>
    <row r="327" spans="1:14" x14ac:dyDescent="0.45">
      <c r="A327" t="s">
        <v>352</v>
      </c>
      <c r="B327" t="s">
        <v>48</v>
      </c>
      <c r="C327" t="s">
        <v>18</v>
      </c>
      <c r="D327" t="s">
        <v>13</v>
      </c>
      <c r="E327" t="s">
        <v>14</v>
      </c>
      <c r="F327" t="s">
        <v>15</v>
      </c>
      <c r="G327" s="7">
        <v>45250</v>
      </c>
      <c r="H327">
        <v>163</v>
      </c>
      <c r="I327">
        <v>89.39</v>
      </c>
      <c r="J327">
        <v>341.39</v>
      </c>
      <c r="K327">
        <v>14570.57</v>
      </c>
      <c r="M327">
        <f t="shared" si="10"/>
        <v>14570.57</v>
      </c>
      <c r="N327" s="11" t="str">
        <f t="shared" si="11"/>
        <v>True</v>
      </c>
    </row>
    <row r="328" spans="1:14" x14ac:dyDescent="0.45">
      <c r="A328" t="s">
        <v>353</v>
      </c>
      <c r="B328" t="s">
        <v>48</v>
      </c>
      <c r="C328" t="s">
        <v>26</v>
      </c>
      <c r="D328" t="s">
        <v>13</v>
      </c>
      <c r="E328" t="s">
        <v>24</v>
      </c>
      <c r="F328" t="s">
        <v>20</v>
      </c>
      <c r="G328" s="7">
        <v>45251</v>
      </c>
      <c r="H328">
        <v>415</v>
      </c>
      <c r="I328">
        <v>207.69</v>
      </c>
      <c r="J328">
        <v>91.77</v>
      </c>
      <c r="K328">
        <v>86191.35</v>
      </c>
      <c r="M328">
        <f t="shared" si="10"/>
        <v>86191.35</v>
      </c>
      <c r="N328" s="11" t="str">
        <f t="shared" si="11"/>
        <v>True</v>
      </c>
    </row>
    <row r="329" spans="1:14" x14ac:dyDescent="0.45">
      <c r="A329" t="s">
        <v>354</v>
      </c>
      <c r="B329" t="s">
        <v>48</v>
      </c>
      <c r="C329" t="s">
        <v>26</v>
      </c>
      <c r="D329" t="s">
        <v>27</v>
      </c>
      <c r="E329" t="s">
        <v>24</v>
      </c>
      <c r="F329" t="s">
        <v>28</v>
      </c>
      <c r="G329" s="7">
        <v>45252</v>
      </c>
      <c r="H329">
        <v>112</v>
      </c>
      <c r="I329">
        <v>214.23</v>
      </c>
      <c r="J329">
        <v>152.01</v>
      </c>
      <c r="K329">
        <v>23993.759999999998</v>
      </c>
      <c r="M329">
        <f t="shared" si="10"/>
        <v>23993.759999999998</v>
      </c>
      <c r="N329" s="11" t="str">
        <f t="shared" si="11"/>
        <v>True</v>
      </c>
    </row>
    <row r="330" spans="1:14" x14ac:dyDescent="0.45">
      <c r="A330" t="s">
        <v>355</v>
      </c>
      <c r="B330" t="s">
        <v>11</v>
      </c>
      <c r="C330" t="s">
        <v>12</v>
      </c>
      <c r="D330" t="s">
        <v>19</v>
      </c>
      <c r="E330" t="s">
        <v>24</v>
      </c>
      <c r="F330" t="s">
        <v>20</v>
      </c>
      <c r="G330" s="7">
        <v>45253</v>
      </c>
      <c r="H330">
        <v>203</v>
      </c>
      <c r="I330">
        <v>411.79</v>
      </c>
      <c r="J330">
        <v>185.77</v>
      </c>
      <c r="K330">
        <v>83593.37000000001</v>
      </c>
      <c r="M330">
        <f t="shared" si="10"/>
        <v>83593.37000000001</v>
      </c>
      <c r="N330" s="11" t="str">
        <f t="shared" si="11"/>
        <v>True</v>
      </c>
    </row>
    <row r="331" spans="1:14" x14ac:dyDescent="0.45">
      <c r="A331" t="s">
        <v>356</v>
      </c>
      <c r="B331" t="s">
        <v>11</v>
      </c>
      <c r="C331" t="s">
        <v>18</v>
      </c>
      <c r="D331" t="s">
        <v>42</v>
      </c>
      <c r="E331" t="s">
        <v>24</v>
      </c>
      <c r="F331" t="s">
        <v>28</v>
      </c>
      <c r="G331" s="7">
        <v>45254</v>
      </c>
      <c r="H331">
        <v>248.5</v>
      </c>
      <c r="I331">
        <v>5.61</v>
      </c>
      <c r="J331">
        <v>193.4</v>
      </c>
      <c r="K331">
        <v>1394.085</v>
      </c>
      <c r="M331">
        <f t="shared" si="10"/>
        <v>1394.085</v>
      </c>
      <c r="N331" s="11" t="str">
        <f t="shared" si="11"/>
        <v>True</v>
      </c>
    </row>
    <row r="332" spans="1:14" x14ac:dyDescent="0.45">
      <c r="A332" t="s">
        <v>357</v>
      </c>
      <c r="B332" t="s">
        <v>17</v>
      </c>
      <c r="C332" t="s">
        <v>50</v>
      </c>
      <c r="D332" t="s">
        <v>13</v>
      </c>
      <c r="E332" t="s">
        <v>24</v>
      </c>
      <c r="F332" t="s">
        <v>28</v>
      </c>
      <c r="G332" s="7">
        <v>45255</v>
      </c>
      <c r="H332">
        <v>368</v>
      </c>
      <c r="I332">
        <v>153.91999999999999</v>
      </c>
      <c r="J332">
        <v>175.2</v>
      </c>
      <c r="K332">
        <v>56642.559999999998</v>
      </c>
      <c r="M332">
        <f t="shared" si="10"/>
        <v>56642.559999999998</v>
      </c>
      <c r="N332" s="11" t="str">
        <f t="shared" si="11"/>
        <v>True</v>
      </c>
    </row>
    <row r="333" spans="1:14" x14ac:dyDescent="0.45">
      <c r="A333" t="s">
        <v>358</v>
      </c>
      <c r="B333" t="s">
        <v>17</v>
      </c>
      <c r="C333" t="s">
        <v>50</v>
      </c>
      <c r="D333" t="s">
        <v>42</v>
      </c>
      <c r="E333" t="s">
        <v>24</v>
      </c>
      <c r="F333" t="s">
        <v>28</v>
      </c>
      <c r="G333" s="7">
        <v>45256</v>
      </c>
      <c r="H333">
        <v>99</v>
      </c>
      <c r="I333">
        <v>490.71</v>
      </c>
      <c r="J333">
        <v>375.07</v>
      </c>
      <c r="K333">
        <v>48580.29</v>
      </c>
      <c r="M333">
        <f t="shared" si="10"/>
        <v>48580.29</v>
      </c>
      <c r="N333" s="11" t="str">
        <f t="shared" si="11"/>
        <v>True</v>
      </c>
    </row>
    <row r="334" spans="1:14" x14ac:dyDescent="0.45">
      <c r="A334" t="s">
        <v>359</v>
      </c>
      <c r="B334" t="s">
        <v>22</v>
      </c>
      <c r="C334" t="s">
        <v>26</v>
      </c>
      <c r="D334" t="s">
        <v>42</v>
      </c>
      <c r="E334" t="s">
        <v>14</v>
      </c>
      <c r="F334" t="s">
        <v>15</v>
      </c>
      <c r="G334" s="7">
        <v>45257</v>
      </c>
      <c r="H334">
        <v>183</v>
      </c>
      <c r="I334">
        <v>240.07</v>
      </c>
      <c r="J334">
        <v>283</v>
      </c>
      <c r="K334">
        <v>43932.81</v>
      </c>
      <c r="M334">
        <f t="shared" si="10"/>
        <v>43932.81</v>
      </c>
      <c r="N334" s="11" t="str">
        <f t="shared" si="11"/>
        <v>True</v>
      </c>
    </row>
    <row r="335" spans="1:14" x14ac:dyDescent="0.45">
      <c r="A335" t="s">
        <v>360</v>
      </c>
      <c r="B335" t="s">
        <v>17</v>
      </c>
      <c r="C335" t="s">
        <v>18</v>
      </c>
      <c r="D335" t="s">
        <v>42</v>
      </c>
      <c r="E335" t="s">
        <v>24</v>
      </c>
      <c r="F335" t="s">
        <v>20</v>
      </c>
      <c r="G335" s="7">
        <v>45258</v>
      </c>
      <c r="H335">
        <v>131</v>
      </c>
      <c r="I335">
        <v>194.35</v>
      </c>
      <c r="J335">
        <v>253.21</v>
      </c>
      <c r="K335">
        <v>25459.85</v>
      </c>
      <c r="M335">
        <f t="shared" si="10"/>
        <v>25459.85</v>
      </c>
      <c r="N335" s="11" t="str">
        <f t="shared" si="11"/>
        <v>True</v>
      </c>
    </row>
    <row r="336" spans="1:14" x14ac:dyDescent="0.45">
      <c r="A336" t="s">
        <v>361</v>
      </c>
      <c r="B336" t="s">
        <v>17</v>
      </c>
      <c r="C336" t="s">
        <v>26</v>
      </c>
      <c r="D336" t="s">
        <v>23</v>
      </c>
      <c r="E336" t="s">
        <v>24</v>
      </c>
      <c r="F336" t="s">
        <v>20</v>
      </c>
      <c r="G336" s="7">
        <v>45259</v>
      </c>
      <c r="H336">
        <v>152</v>
      </c>
      <c r="I336">
        <v>64.319999999999993</v>
      </c>
      <c r="J336">
        <v>21.84</v>
      </c>
      <c r="K336">
        <v>9776.64</v>
      </c>
      <c r="M336">
        <f t="shared" si="10"/>
        <v>9776.64</v>
      </c>
      <c r="N336" s="11" t="str">
        <f t="shared" si="11"/>
        <v>True</v>
      </c>
    </row>
    <row r="337" spans="1:14" x14ac:dyDescent="0.45">
      <c r="A337" t="s">
        <v>362</v>
      </c>
      <c r="B337" t="s">
        <v>11</v>
      </c>
      <c r="C337" t="s">
        <v>31</v>
      </c>
      <c r="D337" t="s">
        <v>23</v>
      </c>
      <c r="E337" t="s">
        <v>24</v>
      </c>
      <c r="F337" t="s">
        <v>28</v>
      </c>
      <c r="G337" s="7">
        <v>45260</v>
      </c>
      <c r="H337">
        <v>491</v>
      </c>
      <c r="I337">
        <v>487.21</v>
      </c>
      <c r="J337">
        <v>361.76</v>
      </c>
      <c r="K337">
        <v>239220.11</v>
      </c>
      <c r="M337">
        <f t="shared" si="10"/>
        <v>239220.11</v>
      </c>
      <c r="N337" s="11" t="str">
        <f t="shared" si="11"/>
        <v>True</v>
      </c>
    </row>
    <row r="338" spans="1:14" x14ac:dyDescent="0.45">
      <c r="A338" t="s">
        <v>363</v>
      </c>
      <c r="B338" t="s">
        <v>48</v>
      </c>
      <c r="C338" t="s">
        <v>26</v>
      </c>
      <c r="D338" t="s">
        <v>42</v>
      </c>
      <c r="E338" t="s">
        <v>14</v>
      </c>
      <c r="F338" t="s">
        <v>15</v>
      </c>
      <c r="G338" s="7">
        <v>45261</v>
      </c>
      <c r="H338">
        <v>115</v>
      </c>
      <c r="I338">
        <v>14.91</v>
      </c>
      <c r="J338">
        <v>363.94</v>
      </c>
      <c r="K338">
        <v>1714.65</v>
      </c>
      <c r="M338">
        <f t="shared" si="10"/>
        <v>1714.65</v>
      </c>
      <c r="N338" s="11" t="str">
        <f t="shared" si="11"/>
        <v>True</v>
      </c>
    </row>
    <row r="339" spans="1:14" x14ac:dyDescent="0.45">
      <c r="A339" t="s">
        <v>364</v>
      </c>
      <c r="B339" t="s">
        <v>17</v>
      </c>
      <c r="C339" t="s">
        <v>26</v>
      </c>
      <c r="D339" t="s">
        <v>13</v>
      </c>
      <c r="E339" t="s">
        <v>24</v>
      </c>
      <c r="F339" t="s">
        <v>15</v>
      </c>
      <c r="G339" s="7">
        <v>45262</v>
      </c>
      <c r="H339">
        <v>384</v>
      </c>
      <c r="I339">
        <v>369.9</v>
      </c>
      <c r="J339">
        <v>312.52</v>
      </c>
      <c r="K339">
        <v>142041.60000000001</v>
      </c>
      <c r="M339">
        <f t="shared" si="10"/>
        <v>142041.59999999998</v>
      </c>
      <c r="N339" s="11" t="str">
        <f t="shared" si="11"/>
        <v>True</v>
      </c>
    </row>
    <row r="340" spans="1:14" x14ac:dyDescent="0.45">
      <c r="A340" t="s">
        <v>365</v>
      </c>
      <c r="B340" t="s">
        <v>22</v>
      </c>
      <c r="C340" t="s">
        <v>50</v>
      </c>
      <c r="D340" t="s">
        <v>19</v>
      </c>
      <c r="E340" t="s">
        <v>14</v>
      </c>
      <c r="F340" t="s">
        <v>20</v>
      </c>
      <c r="G340" s="7">
        <v>45263</v>
      </c>
      <c r="H340">
        <v>437</v>
      </c>
      <c r="I340">
        <v>385.46</v>
      </c>
      <c r="J340">
        <v>4.8</v>
      </c>
      <c r="K340">
        <v>168446.02</v>
      </c>
      <c r="M340">
        <f t="shared" si="10"/>
        <v>168446.02</v>
      </c>
      <c r="N340" s="11" t="str">
        <f t="shared" si="11"/>
        <v>True</v>
      </c>
    </row>
    <row r="341" spans="1:14" x14ac:dyDescent="0.45">
      <c r="A341" t="s">
        <v>366</v>
      </c>
      <c r="B341" t="s">
        <v>11</v>
      </c>
      <c r="C341" t="s">
        <v>50</v>
      </c>
      <c r="D341" t="s">
        <v>19</v>
      </c>
      <c r="E341" t="s">
        <v>24</v>
      </c>
      <c r="F341" t="s">
        <v>15</v>
      </c>
      <c r="G341" s="7">
        <v>45264</v>
      </c>
      <c r="H341">
        <v>314</v>
      </c>
      <c r="I341">
        <v>125.61</v>
      </c>
      <c r="J341">
        <v>24.8</v>
      </c>
      <c r="K341">
        <v>39441.54</v>
      </c>
      <c r="M341">
        <f t="shared" si="10"/>
        <v>39441.54</v>
      </c>
      <c r="N341" s="11" t="str">
        <f t="shared" si="11"/>
        <v>True</v>
      </c>
    </row>
    <row r="342" spans="1:14" x14ac:dyDescent="0.45">
      <c r="A342" t="s">
        <v>367</v>
      </c>
      <c r="B342" t="s">
        <v>17</v>
      </c>
      <c r="C342" t="s">
        <v>50</v>
      </c>
      <c r="D342" t="s">
        <v>27</v>
      </c>
      <c r="E342" t="s">
        <v>14</v>
      </c>
      <c r="F342" t="s">
        <v>15</v>
      </c>
      <c r="G342" s="7">
        <v>45265</v>
      </c>
      <c r="H342">
        <v>369</v>
      </c>
      <c r="I342">
        <v>337.42</v>
      </c>
      <c r="J342">
        <v>91.64</v>
      </c>
      <c r="K342">
        <v>124507.98</v>
      </c>
      <c r="M342">
        <f t="shared" si="10"/>
        <v>124507.98000000001</v>
      </c>
      <c r="N342" s="11" t="str">
        <f t="shared" si="11"/>
        <v>True</v>
      </c>
    </row>
    <row r="343" spans="1:14" x14ac:dyDescent="0.45">
      <c r="A343" t="s">
        <v>368</v>
      </c>
      <c r="B343" t="s">
        <v>17</v>
      </c>
      <c r="C343" t="s">
        <v>31</v>
      </c>
      <c r="D343" t="s">
        <v>13</v>
      </c>
      <c r="E343" t="s">
        <v>14</v>
      </c>
      <c r="F343" t="s">
        <v>28</v>
      </c>
      <c r="G343" s="7">
        <v>45266</v>
      </c>
      <c r="H343">
        <v>468</v>
      </c>
      <c r="I343">
        <v>51</v>
      </c>
      <c r="J343">
        <v>54.28</v>
      </c>
      <c r="K343">
        <v>23868</v>
      </c>
      <c r="M343">
        <f t="shared" si="10"/>
        <v>23868</v>
      </c>
      <c r="N343" s="11" t="str">
        <f t="shared" si="11"/>
        <v>True</v>
      </c>
    </row>
    <row r="344" spans="1:14" x14ac:dyDescent="0.45">
      <c r="A344" t="s">
        <v>369</v>
      </c>
      <c r="B344" t="s">
        <v>11</v>
      </c>
      <c r="C344" t="s">
        <v>50</v>
      </c>
      <c r="D344" t="s">
        <v>23</v>
      </c>
      <c r="E344" t="s">
        <v>24</v>
      </c>
      <c r="F344" t="s">
        <v>15</v>
      </c>
      <c r="G344" s="7">
        <v>45267</v>
      </c>
      <c r="H344">
        <v>326</v>
      </c>
      <c r="I344">
        <v>132.24</v>
      </c>
      <c r="J344">
        <v>160.74</v>
      </c>
      <c r="K344">
        <v>43110.240000000013</v>
      </c>
      <c r="M344">
        <f t="shared" si="10"/>
        <v>43110.240000000005</v>
      </c>
      <c r="N344" s="11" t="str">
        <f t="shared" si="11"/>
        <v>True</v>
      </c>
    </row>
    <row r="345" spans="1:14" x14ac:dyDescent="0.45">
      <c r="A345" t="s">
        <v>370</v>
      </c>
      <c r="B345" t="s">
        <v>17</v>
      </c>
      <c r="C345" t="s">
        <v>18</v>
      </c>
      <c r="D345" t="s">
        <v>42</v>
      </c>
      <c r="E345" t="s">
        <v>24</v>
      </c>
      <c r="F345" t="s">
        <v>28</v>
      </c>
      <c r="G345" s="7">
        <v>45268</v>
      </c>
      <c r="H345">
        <v>460</v>
      </c>
      <c r="I345">
        <v>395.01</v>
      </c>
      <c r="J345">
        <v>369.2</v>
      </c>
      <c r="K345">
        <v>181704.6</v>
      </c>
      <c r="M345">
        <f t="shared" si="10"/>
        <v>181704.6</v>
      </c>
      <c r="N345" s="11" t="str">
        <f t="shared" si="11"/>
        <v>True</v>
      </c>
    </row>
    <row r="346" spans="1:14" x14ac:dyDescent="0.45">
      <c r="A346" t="s">
        <v>371</v>
      </c>
      <c r="B346" t="s">
        <v>11</v>
      </c>
      <c r="C346" t="s">
        <v>12</v>
      </c>
      <c r="D346" t="s">
        <v>27</v>
      </c>
      <c r="E346" t="s">
        <v>14</v>
      </c>
      <c r="F346" t="s">
        <v>20</v>
      </c>
      <c r="G346" s="7">
        <v>45269</v>
      </c>
      <c r="H346">
        <v>132</v>
      </c>
      <c r="I346">
        <v>433.02</v>
      </c>
      <c r="J346">
        <v>189.88</v>
      </c>
      <c r="K346">
        <v>57158.64</v>
      </c>
      <c r="M346">
        <f t="shared" si="10"/>
        <v>57158.64</v>
      </c>
      <c r="N346" s="11" t="str">
        <f t="shared" si="11"/>
        <v>True</v>
      </c>
    </row>
    <row r="347" spans="1:14" x14ac:dyDescent="0.45">
      <c r="A347" t="s">
        <v>372</v>
      </c>
      <c r="B347" t="s">
        <v>48</v>
      </c>
      <c r="C347" t="s">
        <v>18</v>
      </c>
      <c r="D347" t="s">
        <v>19</v>
      </c>
      <c r="E347" t="s">
        <v>24</v>
      </c>
      <c r="F347" t="s">
        <v>15</v>
      </c>
      <c r="G347" s="7">
        <v>45270</v>
      </c>
      <c r="H347">
        <v>399</v>
      </c>
      <c r="I347">
        <v>306.2</v>
      </c>
      <c r="J347">
        <v>7.33</v>
      </c>
      <c r="K347">
        <v>122173.8</v>
      </c>
      <c r="M347">
        <f t="shared" si="10"/>
        <v>122173.79999999999</v>
      </c>
      <c r="N347" s="11" t="str">
        <f t="shared" si="11"/>
        <v>True</v>
      </c>
    </row>
    <row r="348" spans="1:14" x14ac:dyDescent="0.45">
      <c r="A348" t="s">
        <v>373</v>
      </c>
      <c r="B348" t="s">
        <v>11</v>
      </c>
      <c r="C348" t="s">
        <v>18</v>
      </c>
      <c r="D348" t="s">
        <v>23</v>
      </c>
      <c r="E348" t="s">
        <v>14</v>
      </c>
      <c r="F348" t="s">
        <v>20</v>
      </c>
      <c r="G348" s="7">
        <v>45271</v>
      </c>
      <c r="H348">
        <v>18</v>
      </c>
      <c r="I348">
        <v>255.89</v>
      </c>
      <c r="J348">
        <v>114.53</v>
      </c>
      <c r="K348">
        <v>4606.0200000000004</v>
      </c>
      <c r="M348">
        <f t="shared" si="10"/>
        <v>4606.0199999999995</v>
      </c>
      <c r="N348" s="11" t="str">
        <f t="shared" si="11"/>
        <v>True</v>
      </c>
    </row>
    <row r="349" spans="1:14" x14ac:dyDescent="0.45">
      <c r="A349" t="s">
        <v>374</v>
      </c>
      <c r="B349" t="s">
        <v>11</v>
      </c>
      <c r="C349" t="s">
        <v>50</v>
      </c>
      <c r="D349" t="s">
        <v>23</v>
      </c>
      <c r="E349" t="s">
        <v>14</v>
      </c>
      <c r="F349" t="s">
        <v>20</v>
      </c>
      <c r="G349" s="7">
        <v>45272</v>
      </c>
      <c r="H349">
        <v>271</v>
      </c>
      <c r="I349">
        <v>83.86</v>
      </c>
      <c r="J349">
        <v>19.75</v>
      </c>
      <c r="K349">
        <v>22726.06</v>
      </c>
      <c r="M349">
        <f t="shared" si="10"/>
        <v>22726.06</v>
      </c>
      <c r="N349" s="11" t="str">
        <f t="shared" si="11"/>
        <v>True</v>
      </c>
    </row>
    <row r="350" spans="1:14" x14ac:dyDescent="0.45">
      <c r="A350" t="s">
        <v>375</v>
      </c>
      <c r="B350" t="s">
        <v>17</v>
      </c>
      <c r="C350" t="s">
        <v>12</v>
      </c>
      <c r="D350" t="s">
        <v>42</v>
      </c>
      <c r="E350" t="s">
        <v>14</v>
      </c>
      <c r="F350" t="s">
        <v>15</v>
      </c>
      <c r="G350" s="7">
        <v>45273</v>
      </c>
      <c r="H350">
        <v>82</v>
      </c>
      <c r="I350">
        <v>36.24</v>
      </c>
      <c r="J350">
        <v>16.440000000000001</v>
      </c>
      <c r="K350">
        <v>2971.68</v>
      </c>
      <c r="M350">
        <f t="shared" si="10"/>
        <v>2971.6800000000003</v>
      </c>
      <c r="N350" s="11" t="str">
        <f t="shared" si="11"/>
        <v>True</v>
      </c>
    </row>
    <row r="351" spans="1:14" x14ac:dyDescent="0.45">
      <c r="A351" t="s">
        <v>376</v>
      </c>
      <c r="B351" t="s">
        <v>17</v>
      </c>
      <c r="C351" t="s">
        <v>12</v>
      </c>
      <c r="D351" t="s">
        <v>19</v>
      </c>
      <c r="E351" t="s">
        <v>14</v>
      </c>
      <c r="F351" t="s">
        <v>15</v>
      </c>
      <c r="G351" s="7">
        <v>45274</v>
      </c>
      <c r="H351">
        <v>368</v>
      </c>
      <c r="I351">
        <v>63.24</v>
      </c>
      <c r="J351">
        <v>111.74</v>
      </c>
      <c r="K351">
        <v>23272.32</v>
      </c>
      <c r="M351">
        <f t="shared" si="10"/>
        <v>23272.32</v>
      </c>
      <c r="N351" s="11" t="str">
        <f t="shared" si="11"/>
        <v>True</v>
      </c>
    </row>
    <row r="352" spans="1:14" x14ac:dyDescent="0.45">
      <c r="A352" t="s">
        <v>377</v>
      </c>
      <c r="B352" t="s">
        <v>17</v>
      </c>
      <c r="C352" t="s">
        <v>12</v>
      </c>
      <c r="D352" t="s">
        <v>13</v>
      </c>
      <c r="E352" t="s">
        <v>14</v>
      </c>
      <c r="F352" t="s">
        <v>20</v>
      </c>
      <c r="G352" s="7">
        <v>45275</v>
      </c>
      <c r="H352">
        <v>232</v>
      </c>
      <c r="I352">
        <v>117.54</v>
      </c>
      <c r="J352">
        <v>111.69</v>
      </c>
      <c r="K352">
        <v>27269.279999999999</v>
      </c>
      <c r="M352">
        <f t="shared" si="10"/>
        <v>27269.280000000002</v>
      </c>
      <c r="N352" s="11" t="str">
        <f t="shared" si="11"/>
        <v>True</v>
      </c>
    </row>
    <row r="353" spans="1:14" x14ac:dyDescent="0.45">
      <c r="A353" t="s">
        <v>378</v>
      </c>
      <c r="B353" t="s">
        <v>11</v>
      </c>
      <c r="C353" t="s">
        <v>31</v>
      </c>
      <c r="D353" t="s">
        <v>23</v>
      </c>
      <c r="E353" t="s">
        <v>24</v>
      </c>
      <c r="F353" t="s">
        <v>15</v>
      </c>
      <c r="G353" s="7">
        <v>45276</v>
      </c>
      <c r="H353">
        <v>425</v>
      </c>
      <c r="I353">
        <v>174.13</v>
      </c>
      <c r="J353">
        <v>315.27999999999997</v>
      </c>
      <c r="K353">
        <v>74005.25</v>
      </c>
      <c r="M353">
        <f t="shared" si="10"/>
        <v>74005.25</v>
      </c>
      <c r="N353" s="11" t="str">
        <f t="shared" si="11"/>
        <v>True</v>
      </c>
    </row>
  </sheetData>
  <autoFilter ref="N3:N353" xr:uid="{2AD469DD-6D50-4E96-9C07-3F479C42FCF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C7D78-871E-43E3-94C8-B0008F1FDE39}">
  <dimension ref="A1:N354"/>
  <sheetViews>
    <sheetView workbookViewId="0">
      <selection activeCell="Q9" sqref="Q9"/>
    </sheetView>
  </sheetViews>
  <sheetFormatPr defaultRowHeight="14.25" x14ac:dyDescent="0.45"/>
  <cols>
    <col min="6" max="6" width="18.796875" customWidth="1"/>
    <col min="10" max="10" width="13.796875" customWidth="1"/>
    <col min="11" max="11" width="9.86328125" bestFit="1" customWidth="1"/>
    <col min="13" max="13" width="12.53125" bestFit="1" customWidth="1"/>
    <col min="14" max="14" width="15.33203125" bestFit="1" customWidth="1"/>
  </cols>
  <sheetData>
    <row r="1" spans="1:14" ht="18" x14ac:dyDescent="0.45">
      <c r="A1" s="17" t="s">
        <v>392</v>
      </c>
      <c r="B1" s="13"/>
      <c r="C1" s="13"/>
      <c r="D1" s="13"/>
      <c r="E1" s="13"/>
      <c r="F1" s="13"/>
      <c r="G1" s="13"/>
      <c r="H1" s="13"/>
      <c r="I1" s="13"/>
      <c r="J1" s="13"/>
    </row>
    <row r="2" spans="1:14" x14ac:dyDescent="0.45">
      <c r="A2" t="s">
        <v>380</v>
      </c>
    </row>
    <row r="4" spans="1:14" x14ac:dyDescent="0.45">
      <c r="A4" s="6" t="s">
        <v>1</v>
      </c>
      <c r="B4" s="6" t="s">
        <v>2</v>
      </c>
      <c r="C4" s="6" t="s">
        <v>3</v>
      </c>
      <c r="D4" s="6" t="s">
        <v>4</v>
      </c>
      <c r="E4" s="6" t="s">
        <v>5</v>
      </c>
      <c r="F4" s="6" t="s">
        <v>6</v>
      </c>
      <c r="G4" s="6" t="s">
        <v>7</v>
      </c>
      <c r="H4" s="6" t="s">
        <v>8</v>
      </c>
      <c r="I4" s="6" t="s">
        <v>9</v>
      </c>
      <c r="J4" s="6" t="s">
        <v>383</v>
      </c>
      <c r="K4" s="18" t="s">
        <v>393</v>
      </c>
      <c r="M4" s="14" t="s">
        <v>388</v>
      </c>
      <c r="N4" t="s">
        <v>394</v>
      </c>
    </row>
    <row r="5" spans="1:14" x14ac:dyDescent="0.45">
      <c r="A5" t="s">
        <v>11</v>
      </c>
      <c r="B5" t="s">
        <v>12</v>
      </c>
      <c r="C5" t="s">
        <v>13</v>
      </c>
      <c r="D5" t="s">
        <v>14</v>
      </c>
      <c r="E5" t="s">
        <v>15</v>
      </c>
      <c r="F5" s="7">
        <v>44927</v>
      </c>
      <c r="G5">
        <v>235</v>
      </c>
      <c r="H5">
        <v>152.91999999999999</v>
      </c>
      <c r="I5">
        <v>153.6</v>
      </c>
      <c r="J5">
        <v>35936.199999999997</v>
      </c>
      <c r="K5">
        <f>(H5-I5)*G5</f>
        <v>-159.8000000000016</v>
      </c>
      <c r="M5" s="15" t="s">
        <v>11</v>
      </c>
      <c r="N5" s="16">
        <v>12529.932692307691</v>
      </c>
    </row>
    <row r="6" spans="1:14" x14ac:dyDescent="0.45">
      <c r="A6" t="s">
        <v>17</v>
      </c>
      <c r="B6" t="s">
        <v>18</v>
      </c>
      <c r="C6" t="s">
        <v>19</v>
      </c>
      <c r="D6" t="s">
        <v>14</v>
      </c>
      <c r="E6" t="s">
        <v>20</v>
      </c>
      <c r="F6" s="7">
        <v>44928</v>
      </c>
      <c r="G6">
        <v>341</v>
      </c>
      <c r="H6">
        <v>467.92</v>
      </c>
      <c r="I6">
        <v>139.84</v>
      </c>
      <c r="J6">
        <v>159560.72</v>
      </c>
      <c r="K6">
        <f t="shared" ref="K6:K69" si="0">(H6-I6)*G6</f>
        <v>111875.28000000001</v>
      </c>
      <c r="M6" s="15" t="s">
        <v>22</v>
      </c>
      <c r="N6" s="16">
        <v>16801.892628205125</v>
      </c>
    </row>
    <row r="7" spans="1:14" x14ac:dyDescent="0.45">
      <c r="A7" t="s">
        <v>22</v>
      </c>
      <c r="B7" t="s">
        <v>18</v>
      </c>
      <c r="C7" t="s">
        <v>23</v>
      </c>
      <c r="D7" t="s">
        <v>24</v>
      </c>
      <c r="E7" t="s">
        <v>15</v>
      </c>
      <c r="F7" s="7">
        <v>44929</v>
      </c>
      <c r="G7">
        <v>179</v>
      </c>
      <c r="H7">
        <v>473.94</v>
      </c>
      <c r="I7">
        <v>97.14</v>
      </c>
      <c r="J7">
        <v>84835.26</v>
      </c>
      <c r="K7">
        <f t="shared" si="0"/>
        <v>67447.199999999997</v>
      </c>
      <c r="M7" s="15" t="s">
        <v>48</v>
      </c>
      <c r="N7" s="16">
        <v>19200.89493333334</v>
      </c>
    </row>
    <row r="8" spans="1:14" x14ac:dyDescent="0.45">
      <c r="A8" t="s">
        <v>11</v>
      </c>
      <c r="B8" t="s">
        <v>26</v>
      </c>
      <c r="C8" t="s">
        <v>27</v>
      </c>
      <c r="D8" t="s">
        <v>24</v>
      </c>
      <c r="E8" t="s">
        <v>28</v>
      </c>
      <c r="F8" s="7">
        <v>44930</v>
      </c>
      <c r="G8">
        <v>18</v>
      </c>
      <c r="H8">
        <v>314.52999999999997</v>
      </c>
      <c r="I8">
        <v>204.87</v>
      </c>
      <c r="J8">
        <v>5661.5399999999991</v>
      </c>
      <c r="K8">
        <f t="shared" si="0"/>
        <v>1973.8799999999994</v>
      </c>
      <c r="M8" s="15" t="s">
        <v>17</v>
      </c>
      <c r="N8" s="16">
        <v>11258.939952830187</v>
      </c>
    </row>
    <row r="9" spans="1:14" x14ac:dyDescent="0.45">
      <c r="A9" t="s">
        <v>11</v>
      </c>
      <c r="B9" t="s">
        <v>18</v>
      </c>
      <c r="C9" t="s">
        <v>27</v>
      </c>
      <c r="D9" t="s">
        <v>24</v>
      </c>
      <c r="E9" t="s">
        <v>28</v>
      </c>
      <c r="F9" s="7">
        <v>44931</v>
      </c>
      <c r="G9">
        <v>472</v>
      </c>
      <c r="H9">
        <v>392.79</v>
      </c>
      <c r="I9">
        <v>330.46</v>
      </c>
      <c r="J9">
        <v>185396.88</v>
      </c>
      <c r="K9">
        <f t="shared" si="0"/>
        <v>29419.76000000002</v>
      </c>
      <c r="M9" s="15" t="s">
        <v>389</v>
      </c>
      <c r="N9" s="16">
        <v>14526.532157142838</v>
      </c>
    </row>
    <row r="10" spans="1:14" x14ac:dyDescent="0.45">
      <c r="A10" t="s">
        <v>17</v>
      </c>
      <c r="B10" t="s">
        <v>31</v>
      </c>
      <c r="C10" t="s">
        <v>23</v>
      </c>
      <c r="D10" t="s">
        <v>14</v>
      </c>
      <c r="E10" t="s">
        <v>15</v>
      </c>
      <c r="F10" s="7">
        <v>44932</v>
      </c>
      <c r="G10">
        <v>49</v>
      </c>
      <c r="H10">
        <v>308.07</v>
      </c>
      <c r="I10">
        <v>113.32</v>
      </c>
      <c r="J10">
        <v>15095.43</v>
      </c>
      <c r="K10">
        <f t="shared" si="0"/>
        <v>9542.75</v>
      </c>
    </row>
    <row r="11" spans="1:14" x14ac:dyDescent="0.45">
      <c r="A11" t="s">
        <v>22</v>
      </c>
      <c r="B11" t="s">
        <v>12</v>
      </c>
      <c r="C11" t="s">
        <v>23</v>
      </c>
      <c r="D11" t="s">
        <v>14</v>
      </c>
      <c r="E11" t="s">
        <v>20</v>
      </c>
      <c r="F11" s="7">
        <v>44933</v>
      </c>
      <c r="G11">
        <v>34</v>
      </c>
      <c r="H11">
        <v>244.78</v>
      </c>
      <c r="I11">
        <v>377.07</v>
      </c>
      <c r="J11">
        <v>8322.52</v>
      </c>
      <c r="K11">
        <f t="shared" si="0"/>
        <v>-4497.8599999999997</v>
      </c>
    </row>
    <row r="12" spans="1:14" x14ac:dyDescent="0.45">
      <c r="A12" t="s">
        <v>22</v>
      </c>
      <c r="B12" t="s">
        <v>18</v>
      </c>
      <c r="C12" t="s">
        <v>13</v>
      </c>
      <c r="D12" t="s">
        <v>14</v>
      </c>
      <c r="E12" t="s">
        <v>15</v>
      </c>
      <c r="F12" s="7">
        <v>44934</v>
      </c>
      <c r="G12">
        <v>270</v>
      </c>
      <c r="H12">
        <v>332.11</v>
      </c>
      <c r="I12">
        <v>349.59</v>
      </c>
      <c r="J12">
        <v>89669.7</v>
      </c>
      <c r="K12">
        <f t="shared" si="0"/>
        <v>-4719.5999999999894</v>
      </c>
    </row>
    <row r="13" spans="1:14" x14ac:dyDescent="0.45">
      <c r="A13" t="s">
        <v>11</v>
      </c>
      <c r="B13" t="s">
        <v>18</v>
      </c>
      <c r="C13" t="s">
        <v>13</v>
      </c>
      <c r="D13" t="s">
        <v>14</v>
      </c>
      <c r="E13" t="s">
        <v>20</v>
      </c>
      <c r="F13" s="7">
        <v>44935</v>
      </c>
      <c r="G13">
        <v>404</v>
      </c>
      <c r="H13">
        <v>278.74</v>
      </c>
      <c r="I13">
        <v>66.38</v>
      </c>
      <c r="J13">
        <v>112610.96</v>
      </c>
      <c r="K13">
        <f t="shared" si="0"/>
        <v>85793.44</v>
      </c>
    </row>
    <row r="14" spans="1:14" x14ac:dyDescent="0.45">
      <c r="A14" t="s">
        <v>17</v>
      </c>
      <c r="B14" t="s">
        <v>26</v>
      </c>
      <c r="C14" t="s">
        <v>27</v>
      </c>
      <c r="D14" t="s">
        <v>14</v>
      </c>
      <c r="E14" t="s">
        <v>28</v>
      </c>
      <c r="F14" s="7">
        <v>44936</v>
      </c>
      <c r="G14">
        <v>452</v>
      </c>
      <c r="H14">
        <v>300.75</v>
      </c>
      <c r="I14">
        <v>314.94</v>
      </c>
      <c r="J14">
        <v>135939</v>
      </c>
      <c r="K14">
        <f t="shared" si="0"/>
        <v>-6413.8799999999992</v>
      </c>
    </row>
    <row r="15" spans="1:14" x14ac:dyDescent="0.45">
      <c r="A15" t="s">
        <v>11</v>
      </c>
      <c r="B15" t="s">
        <v>26</v>
      </c>
      <c r="C15" t="s">
        <v>19</v>
      </c>
      <c r="D15" t="s">
        <v>14</v>
      </c>
      <c r="E15" t="s">
        <v>20</v>
      </c>
      <c r="F15" s="7">
        <v>44937</v>
      </c>
      <c r="G15">
        <v>235</v>
      </c>
      <c r="H15">
        <v>393</v>
      </c>
      <c r="I15">
        <v>230.69</v>
      </c>
      <c r="J15">
        <v>92355</v>
      </c>
      <c r="K15">
        <f t="shared" si="0"/>
        <v>38142.85</v>
      </c>
    </row>
    <row r="16" spans="1:14" x14ac:dyDescent="0.45">
      <c r="A16" t="s">
        <v>11</v>
      </c>
      <c r="B16" t="s">
        <v>31</v>
      </c>
      <c r="C16" t="s">
        <v>27</v>
      </c>
      <c r="D16" t="s">
        <v>24</v>
      </c>
      <c r="E16" t="s">
        <v>28</v>
      </c>
      <c r="F16" s="7">
        <v>44938</v>
      </c>
      <c r="G16">
        <v>481</v>
      </c>
      <c r="H16">
        <v>243.05</v>
      </c>
      <c r="I16">
        <v>227.5</v>
      </c>
      <c r="J16">
        <v>116907.05</v>
      </c>
      <c r="K16">
        <f t="shared" si="0"/>
        <v>7479.5500000000056</v>
      </c>
    </row>
    <row r="17" spans="1:11" x14ac:dyDescent="0.45">
      <c r="A17" t="s">
        <v>11</v>
      </c>
      <c r="B17" t="s">
        <v>12</v>
      </c>
      <c r="C17" t="s">
        <v>19</v>
      </c>
      <c r="D17" t="s">
        <v>24</v>
      </c>
      <c r="E17" t="s">
        <v>20</v>
      </c>
      <c r="F17" s="7">
        <v>44939</v>
      </c>
      <c r="G17">
        <v>133</v>
      </c>
      <c r="H17">
        <v>25.17</v>
      </c>
      <c r="I17">
        <v>157.63999999999999</v>
      </c>
      <c r="J17">
        <v>3347.61</v>
      </c>
      <c r="K17">
        <f t="shared" si="0"/>
        <v>-17618.509999999995</v>
      </c>
    </row>
    <row r="18" spans="1:11" x14ac:dyDescent="0.45">
      <c r="A18" t="s">
        <v>11</v>
      </c>
      <c r="B18" t="s">
        <v>26</v>
      </c>
      <c r="C18" t="s">
        <v>19</v>
      </c>
      <c r="D18" t="s">
        <v>24</v>
      </c>
      <c r="E18" t="s">
        <v>20</v>
      </c>
      <c r="F18" s="7">
        <v>44940</v>
      </c>
      <c r="G18">
        <v>472</v>
      </c>
      <c r="H18">
        <v>86.18</v>
      </c>
      <c r="I18">
        <v>201.46</v>
      </c>
      <c r="J18">
        <v>40676.960000000006</v>
      </c>
      <c r="K18">
        <f t="shared" si="0"/>
        <v>-54412.160000000003</v>
      </c>
    </row>
    <row r="19" spans="1:11" x14ac:dyDescent="0.45">
      <c r="A19" t="s">
        <v>17</v>
      </c>
      <c r="B19" t="s">
        <v>18</v>
      </c>
      <c r="C19" t="s">
        <v>13</v>
      </c>
      <c r="D19" t="s">
        <v>24</v>
      </c>
      <c r="E19" t="s">
        <v>20</v>
      </c>
      <c r="F19" s="7">
        <v>44941</v>
      </c>
      <c r="G19">
        <v>47</v>
      </c>
      <c r="H19">
        <v>222.11</v>
      </c>
      <c r="I19">
        <v>160.08000000000001</v>
      </c>
      <c r="J19">
        <v>10439.17</v>
      </c>
      <c r="K19">
        <f t="shared" si="0"/>
        <v>2915.41</v>
      </c>
    </row>
    <row r="20" spans="1:11" x14ac:dyDescent="0.45">
      <c r="A20" t="s">
        <v>22</v>
      </c>
      <c r="B20" t="s">
        <v>12</v>
      </c>
      <c r="C20" t="s">
        <v>42</v>
      </c>
      <c r="D20" t="s">
        <v>14</v>
      </c>
      <c r="E20" t="s">
        <v>15</v>
      </c>
      <c r="F20" s="7">
        <v>44942</v>
      </c>
      <c r="G20">
        <v>337</v>
      </c>
      <c r="H20">
        <v>363.79</v>
      </c>
      <c r="I20">
        <v>216.81</v>
      </c>
      <c r="J20">
        <v>122597.23</v>
      </c>
      <c r="K20">
        <f t="shared" si="0"/>
        <v>49532.260000000009</v>
      </c>
    </row>
    <row r="21" spans="1:11" x14ac:dyDescent="0.45">
      <c r="A21" t="s">
        <v>17</v>
      </c>
      <c r="B21" t="s">
        <v>12</v>
      </c>
      <c r="C21" t="s">
        <v>42</v>
      </c>
      <c r="D21" t="s">
        <v>14</v>
      </c>
      <c r="E21" t="s">
        <v>15</v>
      </c>
      <c r="F21" s="7">
        <v>44943</v>
      </c>
      <c r="G21">
        <v>260</v>
      </c>
      <c r="H21">
        <v>298.67</v>
      </c>
      <c r="I21">
        <v>251.92</v>
      </c>
      <c r="J21">
        <v>77654.2</v>
      </c>
      <c r="K21">
        <f t="shared" si="0"/>
        <v>12155.000000000007</v>
      </c>
    </row>
    <row r="22" spans="1:11" x14ac:dyDescent="0.45">
      <c r="A22" t="s">
        <v>17</v>
      </c>
      <c r="B22" t="s">
        <v>18</v>
      </c>
      <c r="C22" t="s">
        <v>23</v>
      </c>
      <c r="D22" t="s">
        <v>24</v>
      </c>
      <c r="E22" t="s">
        <v>28</v>
      </c>
      <c r="F22" s="7">
        <v>44944</v>
      </c>
      <c r="G22">
        <v>398</v>
      </c>
      <c r="H22">
        <v>326.89999999999998</v>
      </c>
      <c r="I22">
        <v>270.37</v>
      </c>
      <c r="J22">
        <v>130106.2</v>
      </c>
      <c r="K22">
        <f t="shared" si="0"/>
        <v>22498.939999999988</v>
      </c>
    </row>
    <row r="23" spans="1:11" x14ac:dyDescent="0.45">
      <c r="A23" t="s">
        <v>17</v>
      </c>
      <c r="B23" t="s">
        <v>26</v>
      </c>
      <c r="C23" t="s">
        <v>13</v>
      </c>
      <c r="D23" t="s">
        <v>14</v>
      </c>
      <c r="E23" t="s">
        <v>28</v>
      </c>
      <c r="F23" s="7">
        <v>44945</v>
      </c>
      <c r="G23">
        <v>185</v>
      </c>
      <c r="H23">
        <v>242.24</v>
      </c>
      <c r="I23">
        <v>213.93</v>
      </c>
      <c r="J23">
        <v>44814.400000000001</v>
      </c>
      <c r="K23">
        <f t="shared" si="0"/>
        <v>5237.3500000000004</v>
      </c>
    </row>
    <row r="24" spans="1:11" x14ac:dyDescent="0.45">
      <c r="A24" t="s">
        <v>11</v>
      </c>
      <c r="B24" t="s">
        <v>18</v>
      </c>
      <c r="C24" t="s">
        <v>19</v>
      </c>
      <c r="D24" t="s">
        <v>24</v>
      </c>
      <c r="E24" t="s">
        <v>15</v>
      </c>
      <c r="F24" s="7">
        <v>44946</v>
      </c>
      <c r="G24">
        <v>99</v>
      </c>
      <c r="H24">
        <v>309.79000000000002</v>
      </c>
      <c r="I24">
        <v>289.13</v>
      </c>
      <c r="J24">
        <v>30669.21</v>
      </c>
      <c r="K24">
        <f t="shared" si="0"/>
        <v>2045.3400000000024</v>
      </c>
    </row>
    <row r="25" spans="1:11" x14ac:dyDescent="0.45">
      <c r="A25" t="s">
        <v>48</v>
      </c>
      <c r="B25" t="s">
        <v>12</v>
      </c>
      <c r="C25" t="s">
        <v>42</v>
      </c>
      <c r="D25" t="s">
        <v>24</v>
      </c>
      <c r="E25" t="s">
        <v>28</v>
      </c>
      <c r="F25" s="7">
        <v>44947</v>
      </c>
      <c r="G25">
        <v>411</v>
      </c>
      <c r="H25">
        <v>167.86</v>
      </c>
      <c r="I25">
        <v>58.23</v>
      </c>
      <c r="J25">
        <v>68990.460000000006</v>
      </c>
      <c r="K25">
        <f t="shared" si="0"/>
        <v>45057.930000000008</v>
      </c>
    </row>
    <row r="26" spans="1:11" x14ac:dyDescent="0.45">
      <c r="A26" t="s">
        <v>22</v>
      </c>
      <c r="B26" t="s">
        <v>50</v>
      </c>
      <c r="C26" t="s">
        <v>19</v>
      </c>
      <c r="D26" t="s">
        <v>24</v>
      </c>
      <c r="E26" t="s">
        <v>15</v>
      </c>
      <c r="F26" s="7">
        <v>44948</v>
      </c>
      <c r="G26">
        <v>463</v>
      </c>
      <c r="H26">
        <v>237.74</v>
      </c>
      <c r="I26">
        <v>86.37</v>
      </c>
      <c r="J26">
        <v>110073.62</v>
      </c>
      <c r="K26">
        <f t="shared" si="0"/>
        <v>70084.31</v>
      </c>
    </row>
    <row r="27" spans="1:11" x14ac:dyDescent="0.45">
      <c r="A27" t="s">
        <v>48</v>
      </c>
      <c r="B27" t="s">
        <v>50</v>
      </c>
      <c r="C27" t="s">
        <v>42</v>
      </c>
      <c r="D27" t="s">
        <v>14</v>
      </c>
      <c r="E27" t="s">
        <v>20</v>
      </c>
      <c r="F27" s="7">
        <v>44949</v>
      </c>
      <c r="G27">
        <v>46</v>
      </c>
      <c r="H27">
        <v>373.42</v>
      </c>
      <c r="I27">
        <v>327.86</v>
      </c>
      <c r="J27">
        <v>17177.32</v>
      </c>
      <c r="K27">
        <f t="shared" si="0"/>
        <v>2095.7600000000002</v>
      </c>
    </row>
    <row r="28" spans="1:11" x14ac:dyDescent="0.45">
      <c r="A28" t="s">
        <v>17</v>
      </c>
      <c r="B28" t="s">
        <v>31</v>
      </c>
      <c r="C28" t="s">
        <v>42</v>
      </c>
      <c r="D28" t="s">
        <v>24</v>
      </c>
      <c r="E28" t="s">
        <v>28</v>
      </c>
      <c r="F28" s="7">
        <v>44950</v>
      </c>
      <c r="G28">
        <v>325</v>
      </c>
      <c r="H28">
        <v>436.56</v>
      </c>
      <c r="I28">
        <v>130.37</v>
      </c>
      <c r="J28">
        <v>141882</v>
      </c>
      <c r="K28">
        <f t="shared" si="0"/>
        <v>99511.75</v>
      </c>
    </row>
    <row r="29" spans="1:11" x14ac:dyDescent="0.45">
      <c r="A29" t="s">
        <v>17</v>
      </c>
      <c r="B29" t="s">
        <v>18</v>
      </c>
      <c r="C29" t="s">
        <v>13</v>
      </c>
      <c r="D29" t="s">
        <v>24</v>
      </c>
      <c r="E29" t="s">
        <v>28</v>
      </c>
      <c r="F29" s="7">
        <v>44951</v>
      </c>
      <c r="G29">
        <v>185</v>
      </c>
      <c r="H29">
        <v>219.66</v>
      </c>
      <c r="I29">
        <v>11.11</v>
      </c>
      <c r="J29">
        <v>40637.1</v>
      </c>
      <c r="K29">
        <f t="shared" si="0"/>
        <v>38581.75</v>
      </c>
    </row>
    <row r="30" spans="1:11" x14ac:dyDescent="0.45">
      <c r="A30" t="s">
        <v>48</v>
      </c>
      <c r="B30" t="s">
        <v>18</v>
      </c>
      <c r="C30" t="s">
        <v>13</v>
      </c>
      <c r="D30" t="s">
        <v>24</v>
      </c>
      <c r="E30" t="s">
        <v>15</v>
      </c>
      <c r="F30" s="7">
        <v>44952</v>
      </c>
      <c r="G30">
        <v>470</v>
      </c>
      <c r="H30">
        <v>26.61</v>
      </c>
      <c r="I30">
        <v>63.21</v>
      </c>
      <c r="J30">
        <v>12506.7</v>
      </c>
      <c r="K30">
        <f t="shared" si="0"/>
        <v>-17202</v>
      </c>
    </row>
    <row r="31" spans="1:11" x14ac:dyDescent="0.45">
      <c r="A31" t="s">
        <v>48</v>
      </c>
      <c r="B31" t="s">
        <v>31</v>
      </c>
      <c r="C31" t="s">
        <v>27</v>
      </c>
      <c r="D31" t="s">
        <v>14</v>
      </c>
      <c r="E31" t="s">
        <v>28</v>
      </c>
      <c r="F31" s="7">
        <v>44953</v>
      </c>
      <c r="G31">
        <v>293</v>
      </c>
      <c r="H31">
        <v>85.03</v>
      </c>
      <c r="I31">
        <v>91</v>
      </c>
      <c r="J31">
        <v>24913.79</v>
      </c>
      <c r="K31">
        <f t="shared" si="0"/>
        <v>-1749.2099999999996</v>
      </c>
    </row>
    <row r="32" spans="1:11" x14ac:dyDescent="0.45">
      <c r="A32" t="s">
        <v>48</v>
      </c>
      <c r="B32" t="s">
        <v>31</v>
      </c>
      <c r="C32" t="s">
        <v>19</v>
      </c>
      <c r="D32" t="s">
        <v>14</v>
      </c>
      <c r="E32" t="s">
        <v>28</v>
      </c>
      <c r="F32" s="7">
        <v>44954</v>
      </c>
      <c r="G32">
        <v>462</v>
      </c>
      <c r="H32">
        <v>255.39500000000001</v>
      </c>
      <c r="I32">
        <v>383.01</v>
      </c>
      <c r="J32">
        <v>117992.49</v>
      </c>
      <c r="K32">
        <f t="shared" si="0"/>
        <v>-58958.12999999999</v>
      </c>
    </row>
    <row r="33" spans="1:11" x14ac:dyDescent="0.45">
      <c r="A33" t="s">
        <v>17</v>
      </c>
      <c r="B33" t="s">
        <v>31</v>
      </c>
      <c r="C33" t="s">
        <v>13</v>
      </c>
      <c r="D33" t="s">
        <v>24</v>
      </c>
      <c r="E33" t="s">
        <v>20</v>
      </c>
      <c r="F33" s="7">
        <v>44955</v>
      </c>
      <c r="G33">
        <v>470</v>
      </c>
      <c r="H33">
        <v>328.37</v>
      </c>
      <c r="I33">
        <v>230.07</v>
      </c>
      <c r="J33">
        <v>154333.9</v>
      </c>
      <c r="K33">
        <f t="shared" si="0"/>
        <v>46201.000000000007</v>
      </c>
    </row>
    <row r="34" spans="1:11" x14ac:dyDescent="0.45">
      <c r="A34" t="s">
        <v>17</v>
      </c>
      <c r="B34" t="s">
        <v>12</v>
      </c>
      <c r="C34" t="s">
        <v>13</v>
      </c>
      <c r="D34" t="s">
        <v>14</v>
      </c>
      <c r="E34" t="s">
        <v>28</v>
      </c>
      <c r="F34" s="7">
        <v>44956</v>
      </c>
      <c r="G34">
        <v>90</v>
      </c>
      <c r="H34">
        <v>169.5</v>
      </c>
      <c r="I34">
        <v>373.23</v>
      </c>
      <c r="J34">
        <v>15255</v>
      </c>
      <c r="K34">
        <f t="shared" si="0"/>
        <v>-18335.7</v>
      </c>
    </row>
    <row r="35" spans="1:11" x14ac:dyDescent="0.45">
      <c r="A35" t="s">
        <v>17</v>
      </c>
      <c r="B35" t="s">
        <v>18</v>
      </c>
      <c r="C35" t="s">
        <v>13</v>
      </c>
      <c r="D35" t="s">
        <v>14</v>
      </c>
      <c r="E35" t="s">
        <v>20</v>
      </c>
      <c r="F35" s="7">
        <v>44957</v>
      </c>
      <c r="G35">
        <v>123</v>
      </c>
      <c r="H35">
        <v>273.52999999999997</v>
      </c>
      <c r="I35">
        <v>230.92</v>
      </c>
      <c r="J35">
        <v>33644.19</v>
      </c>
      <c r="K35">
        <f t="shared" si="0"/>
        <v>5241.0299999999979</v>
      </c>
    </row>
    <row r="36" spans="1:11" x14ac:dyDescent="0.45">
      <c r="A36" t="s">
        <v>22</v>
      </c>
      <c r="B36" t="s">
        <v>12</v>
      </c>
      <c r="C36" t="s">
        <v>13</v>
      </c>
      <c r="D36" t="s">
        <v>14</v>
      </c>
      <c r="E36" t="s">
        <v>15</v>
      </c>
      <c r="F36" s="7">
        <v>44958</v>
      </c>
      <c r="G36">
        <v>49</v>
      </c>
      <c r="H36">
        <v>249.17</v>
      </c>
      <c r="I36">
        <v>192.78</v>
      </c>
      <c r="J36">
        <v>12209.33</v>
      </c>
      <c r="K36">
        <f t="shared" si="0"/>
        <v>2763.1099999999992</v>
      </c>
    </row>
    <row r="37" spans="1:11" x14ac:dyDescent="0.45">
      <c r="A37" t="s">
        <v>17</v>
      </c>
      <c r="B37" t="s">
        <v>31</v>
      </c>
      <c r="C37" t="s">
        <v>13</v>
      </c>
      <c r="D37" t="s">
        <v>14</v>
      </c>
      <c r="E37" t="s">
        <v>28</v>
      </c>
      <c r="F37" s="7">
        <v>44959</v>
      </c>
      <c r="G37">
        <v>310</v>
      </c>
      <c r="H37">
        <v>45.36</v>
      </c>
      <c r="I37">
        <v>126.86</v>
      </c>
      <c r="J37">
        <v>14061.6</v>
      </c>
      <c r="K37">
        <f t="shared" si="0"/>
        <v>-25265</v>
      </c>
    </row>
    <row r="38" spans="1:11" x14ac:dyDescent="0.45">
      <c r="A38" t="s">
        <v>48</v>
      </c>
      <c r="B38" t="s">
        <v>18</v>
      </c>
      <c r="C38" t="s">
        <v>23</v>
      </c>
      <c r="D38" t="s">
        <v>14</v>
      </c>
      <c r="E38" t="s">
        <v>20</v>
      </c>
      <c r="F38" s="7">
        <v>44960</v>
      </c>
      <c r="G38">
        <v>233</v>
      </c>
      <c r="H38">
        <v>204.61</v>
      </c>
      <c r="I38">
        <v>243.34</v>
      </c>
      <c r="J38">
        <v>47674.13</v>
      </c>
      <c r="K38">
        <f t="shared" si="0"/>
        <v>-9024.0899999999983</v>
      </c>
    </row>
    <row r="39" spans="1:11" x14ac:dyDescent="0.45">
      <c r="A39" t="s">
        <v>48</v>
      </c>
      <c r="B39" t="s">
        <v>12</v>
      </c>
      <c r="C39" t="s">
        <v>19</v>
      </c>
      <c r="D39" t="s">
        <v>14</v>
      </c>
      <c r="E39" t="s">
        <v>15</v>
      </c>
      <c r="F39" s="7">
        <v>44961</v>
      </c>
      <c r="G39">
        <v>327</v>
      </c>
      <c r="H39">
        <v>114.18</v>
      </c>
      <c r="I39">
        <v>57.4</v>
      </c>
      <c r="J39">
        <v>37336.86</v>
      </c>
      <c r="K39">
        <f t="shared" si="0"/>
        <v>18567.060000000001</v>
      </c>
    </row>
    <row r="40" spans="1:11" x14ac:dyDescent="0.45">
      <c r="A40" t="s">
        <v>22</v>
      </c>
      <c r="B40" t="s">
        <v>12</v>
      </c>
      <c r="C40" t="s">
        <v>13</v>
      </c>
      <c r="D40" t="s">
        <v>14</v>
      </c>
      <c r="E40" t="s">
        <v>28</v>
      </c>
      <c r="F40" s="7">
        <v>44962</v>
      </c>
      <c r="G40">
        <v>358</v>
      </c>
      <c r="H40">
        <v>212.11</v>
      </c>
      <c r="I40">
        <v>359.51</v>
      </c>
      <c r="J40">
        <v>75935.38</v>
      </c>
      <c r="K40">
        <f t="shared" si="0"/>
        <v>-52769.19999999999</v>
      </c>
    </row>
    <row r="41" spans="1:11" x14ac:dyDescent="0.45">
      <c r="A41" t="s">
        <v>17</v>
      </c>
      <c r="B41" t="s">
        <v>31</v>
      </c>
      <c r="C41" t="s">
        <v>19</v>
      </c>
      <c r="D41" t="s">
        <v>14</v>
      </c>
      <c r="E41" t="s">
        <v>15</v>
      </c>
      <c r="F41" s="7">
        <v>44963</v>
      </c>
      <c r="G41">
        <v>124</v>
      </c>
      <c r="H41">
        <v>255.39500000000001</v>
      </c>
      <c r="I41">
        <v>332.07</v>
      </c>
      <c r="J41">
        <v>31668.98</v>
      </c>
      <c r="K41">
        <f t="shared" si="0"/>
        <v>-9507.6999999999971</v>
      </c>
    </row>
    <row r="42" spans="1:11" x14ac:dyDescent="0.45">
      <c r="A42" t="s">
        <v>22</v>
      </c>
      <c r="B42" t="s">
        <v>18</v>
      </c>
      <c r="C42" t="s">
        <v>23</v>
      </c>
      <c r="D42" t="s">
        <v>14</v>
      </c>
      <c r="E42" t="s">
        <v>28</v>
      </c>
      <c r="F42" s="7">
        <v>44964</v>
      </c>
      <c r="G42">
        <v>195</v>
      </c>
      <c r="H42">
        <v>421.02</v>
      </c>
      <c r="I42">
        <v>128.38</v>
      </c>
      <c r="J42">
        <v>82098.899999999994</v>
      </c>
      <c r="K42">
        <f t="shared" si="0"/>
        <v>57064.799999999996</v>
      </c>
    </row>
    <row r="43" spans="1:11" x14ac:dyDescent="0.45">
      <c r="A43" t="s">
        <v>22</v>
      </c>
      <c r="B43" t="s">
        <v>31</v>
      </c>
      <c r="C43" t="s">
        <v>23</v>
      </c>
      <c r="D43" t="s">
        <v>14</v>
      </c>
      <c r="E43" t="s">
        <v>15</v>
      </c>
      <c r="F43" s="7">
        <v>44965</v>
      </c>
      <c r="G43">
        <v>248.5</v>
      </c>
      <c r="H43">
        <v>91.23</v>
      </c>
      <c r="I43">
        <v>381.21</v>
      </c>
      <c r="J43">
        <v>22670.654999999999</v>
      </c>
      <c r="K43">
        <f t="shared" si="0"/>
        <v>-72060.029999999984</v>
      </c>
    </row>
    <row r="44" spans="1:11" x14ac:dyDescent="0.45">
      <c r="A44" t="s">
        <v>11</v>
      </c>
      <c r="B44" t="s">
        <v>18</v>
      </c>
      <c r="C44" t="s">
        <v>19</v>
      </c>
      <c r="D44" t="s">
        <v>24</v>
      </c>
      <c r="E44" t="s">
        <v>15</v>
      </c>
      <c r="F44" s="7">
        <v>44966</v>
      </c>
      <c r="G44">
        <v>65</v>
      </c>
      <c r="H44">
        <v>480.59</v>
      </c>
      <c r="I44">
        <v>330.43</v>
      </c>
      <c r="J44">
        <v>31238.35</v>
      </c>
      <c r="K44">
        <f t="shared" si="0"/>
        <v>9760.3999999999978</v>
      </c>
    </row>
    <row r="45" spans="1:11" x14ac:dyDescent="0.45">
      <c r="A45" t="s">
        <v>11</v>
      </c>
      <c r="B45" t="s">
        <v>50</v>
      </c>
      <c r="C45" t="s">
        <v>42</v>
      </c>
      <c r="D45" t="s">
        <v>24</v>
      </c>
      <c r="E45" t="s">
        <v>20</v>
      </c>
      <c r="F45" s="7">
        <v>44967</v>
      </c>
      <c r="G45">
        <v>49</v>
      </c>
      <c r="H45">
        <v>210.87</v>
      </c>
      <c r="I45">
        <v>267.19</v>
      </c>
      <c r="J45">
        <v>10332.629999999999</v>
      </c>
      <c r="K45">
        <f t="shared" si="0"/>
        <v>-2759.68</v>
      </c>
    </row>
    <row r="46" spans="1:11" x14ac:dyDescent="0.45">
      <c r="A46" t="s">
        <v>11</v>
      </c>
      <c r="B46" t="s">
        <v>26</v>
      </c>
      <c r="C46" t="s">
        <v>27</v>
      </c>
      <c r="D46" t="s">
        <v>14</v>
      </c>
      <c r="E46" t="s">
        <v>15</v>
      </c>
      <c r="F46" s="7">
        <v>44968</v>
      </c>
      <c r="G46">
        <v>363</v>
      </c>
      <c r="H46">
        <v>423.89</v>
      </c>
      <c r="I46">
        <v>50.46</v>
      </c>
      <c r="J46">
        <v>153872.07</v>
      </c>
      <c r="K46">
        <f t="shared" si="0"/>
        <v>135555.09</v>
      </c>
    </row>
    <row r="47" spans="1:11" x14ac:dyDescent="0.45">
      <c r="A47" t="s">
        <v>48</v>
      </c>
      <c r="B47" t="s">
        <v>26</v>
      </c>
      <c r="C47" t="s">
        <v>42</v>
      </c>
      <c r="D47" t="s">
        <v>24</v>
      </c>
      <c r="E47" t="s">
        <v>28</v>
      </c>
      <c r="F47" s="7">
        <v>44969</v>
      </c>
      <c r="G47">
        <v>49</v>
      </c>
      <c r="H47">
        <v>316.24</v>
      </c>
      <c r="I47">
        <v>192.34</v>
      </c>
      <c r="J47">
        <v>15495.76</v>
      </c>
      <c r="K47">
        <f t="shared" si="0"/>
        <v>6071.1</v>
      </c>
    </row>
    <row r="48" spans="1:11" x14ac:dyDescent="0.45">
      <c r="A48" t="s">
        <v>17</v>
      </c>
      <c r="B48" t="s">
        <v>26</v>
      </c>
      <c r="C48" t="s">
        <v>42</v>
      </c>
      <c r="D48" t="s">
        <v>24</v>
      </c>
      <c r="E48" t="s">
        <v>28</v>
      </c>
      <c r="F48" s="7">
        <v>44970</v>
      </c>
      <c r="G48">
        <v>356</v>
      </c>
      <c r="H48">
        <v>369</v>
      </c>
      <c r="I48">
        <v>203.43</v>
      </c>
      <c r="J48">
        <v>131364</v>
      </c>
      <c r="K48">
        <f t="shared" si="0"/>
        <v>58942.92</v>
      </c>
    </row>
    <row r="49" spans="1:11" x14ac:dyDescent="0.45">
      <c r="A49" t="s">
        <v>17</v>
      </c>
      <c r="B49" t="s">
        <v>31</v>
      </c>
      <c r="C49" t="s">
        <v>42</v>
      </c>
      <c r="D49" t="s">
        <v>14</v>
      </c>
      <c r="E49" t="s">
        <v>20</v>
      </c>
      <c r="F49" s="7">
        <v>44971</v>
      </c>
      <c r="G49">
        <v>470</v>
      </c>
      <c r="H49">
        <v>255.39500000000001</v>
      </c>
      <c r="I49">
        <v>94.56</v>
      </c>
      <c r="J49">
        <v>120035.65</v>
      </c>
      <c r="K49">
        <f t="shared" si="0"/>
        <v>75592.45</v>
      </c>
    </row>
    <row r="50" spans="1:11" x14ac:dyDescent="0.45">
      <c r="A50" t="s">
        <v>17</v>
      </c>
      <c r="B50" t="s">
        <v>50</v>
      </c>
      <c r="C50" t="s">
        <v>13</v>
      </c>
      <c r="D50" t="s">
        <v>14</v>
      </c>
      <c r="E50" t="s">
        <v>28</v>
      </c>
      <c r="F50" s="7">
        <v>44972</v>
      </c>
      <c r="G50">
        <v>246</v>
      </c>
      <c r="H50">
        <v>254.9</v>
      </c>
      <c r="I50">
        <v>33.83</v>
      </c>
      <c r="J50">
        <v>62705.4</v>
      </c>
      <c r="K50">
        <f t="shared" si="0"/>
        <v>54383.22</v>
      </c>
    </row>
    <row r="51" spans="1:11" x14ac:dyDescent="0.45">
      <c r="A51" t="s">
        <v>17</v>
      </c>
      <c r="B51" t="s">
        <v>18</v>
      </c>
      <c r="C51" t="s">
        <v>23</v>
      </c>
      <c r="D51" t="s">
        <v>14</v>
      </c>
      <c r="E51" t="s">
        <v>28</v>
      </c>
      <c r="F51" s="7">
        <v>44973</v>
      </c>
      <c r="G51">
        <v>298</v>
      </c>
      <c r="H51">
        <v>273.93</v>
      </c>
      <c r="I51">
        <v>311.14</v>
      </c>
      <c r="J51">
        <v>81631.14</v>
      </c>
      <c r="K51">
        <f t="shared" si="0"/>
        <v>-11088.579999999994</v>
      </c>
    </row>
    <row r="52" spans="1:11" x14ac:dyDescent="0.45">
      <c r="A52" t="s">
        <v>11</v>
      </c>
      <c r="B52" t="s">
        <v>12</v>
      </c>
      <c r="C52" t="s">
        <v>42</v>
      </c>
      <c r="D52" t="s">
        <v>24</v>
      </c>
      <c r="E52" t="s">
        <v>28</v>
      </c>
      <c r="F52" s="7">
        <v>44974</v>
      </c>
      <c r="G52">
        <v>271</v>
      </c>
      <c r="H52">
        <v>259.43</v>
      </c>
      <c r="I52">
        <v>50.57</v>
      </c>
      <c r="J52">
        <v>70305.53</v>
      </c>
      <c r="K52">
        <f t="shared" si="0"/>
        <v>56601.060000000005</v>
      </c>
    </row>
    <row r="53" spans="1:11" x14ac:dyDescent="0.45">
      <c r="A53" t="s">
        <v>48</v>
      </c>
      <c r="B53" t="s">
        <v>18</v>
      </c>
      <c r="C53" t="s">
        <v>23</v>
      </c>
      <c r="D53" t="s">
        <v>24</v>
      </c>
      <c r="E53" t="s">
        <v>15</v>
      </c>
      <c r="F53" s="7">
        <v>44975</v>
      </c>
      <c r="G53">
        <v>225</v>
      </c>
      <c r="H53">
        <v>296.08999999999997</v>
      </c>
      <c r="I53">
        <v>238.53</v>
      </c>
      <c r="J53">
        <v>66620.25</v>
      </c>
      <c r="K53">
        <f t="shared" si="0"/>
        <v>12950.999999999995</v>
      </c>
    </row>
    <row r="54" spans="1:11" x14ac:dyDescent="0.45">
      <c r="A54" t="s">
        <v>17</v>
      </c>
      <c r="B54" t="s">
        <v>12</v>
      </c>
      <c r="C54" t="s">
        <v>19</v>
      </c>
      <c r="D54" t="s">
        <v>14</v>
      </c>
      <c r="E54" t="s">
        <v>15</v>
      </c>
      <c r="F54" s="7">
        <v>44976</v>
      </c>
      <c r="G54">
        <v>156</v>
      </c>
      <c r="H54">
        <v>19.55</v>
      </c>
      <c r="I54">
        <v>374.71</v>
      </c>
      <c r="J54">
        <v>3049.8</v>
      </c>
      <c r="K54">
        <f t="shared" si="0"/>
        <v>-55404.959999999992</v>
      </c>
    </row>
    <row r="55" spans="1:11" x14ac:dyDescent="0.45">
      <c r="A55" t="s">
        <v>11</v>
      </c>
      <c r="B55" t="s">
        <v>18</v>
      </c>
      <c r="C55" t="s">
        <v>27</v>
      </c>
      <c r="D55" t="s">
        <v>14</v>
      </c>
      <c r="E55" t="s">
        <v>28</v>
      </c>
      <c r="F55" s="7">
        <v>44977</v>
      </c>
      <c r="G55">
        <v>345</v>
      </c>
      <c r="H55">
        <v>200.78</v>
      </c>
      <c r="I55">
        <v>350.69</v>
      </c>
      <c r="J55">
        <v>69269.100000000006</v>
      </c>
      <c r="K55">
        <f t="shared" si="0"/>
        <v>-51718.95</v>
      </c>
    </row>
    <row r="56" spans="1:11" x14ac:dyDescent="0.45">
      <c r="A56" t="s">
        <v>48</v>
      </c>
      <c r="B56" t="s">
        <v>50</v>
      </c>
      <c r="C56" t="s">
        <v>19</v>
      </c>
      <c r="D56" t="s">
        <v>14</v>
      </c>
      <c r="E56" t="s">
        <v>20</v>
      </c>
      <c r="F56" s="7">
        <v>44978</v>
      </c>
      <c r="G56">
        <v>177</v>
      </c>
      <c r="H56">
        <v>305.06</v>
      </c>
      <c r="I56">
        <v>112.55</v>
      </c>
      <c r="J56">
        <v>53995.62</v>
      </c>
      <c r="K56">
        <f t="shared" si="0"/>
        <v>34074.269999999997</v>
      </c>
    </row>
    <row r="57" spans="1:11" x14ac:dyDescent="0.45">
      <c r="A57" t="s">
        <v>11</v>
      </c>
      <c r="B57" t="s">
        <v>12</v>
      </c>
      <c r="C57" t="s">
        <v>19</v>
      </c>
      <c r="D57" t="s">
        <v>24</v>
      </c>
      <c r="E57" t="s">
        <v>15</v>
      </c>
      <c r="F57" s="7">
        <v>44979</v>
      </c>
      <c r="G57">
        <v>101</v>
      </c>
      <c r="H57">
        <v>300.87</v>
      </c>
      <c r="I57">
        <v>340.88</v>
      </c>
      <c r="J57">
        <v>30387.87</v>
      </c>
      <c r="K57">
        <f t="shared" si="0"/>
        <v>-4041.0099999999993</v>
      </c>
    </row>
    <row r="58" spans="1:11" x14ac:dyDescent="0.45">
      <c r="A58" t="s">
        <v>17</v>
      </c>
      <c r="B58" t="s">
        <v>31</v>
      </c>
      <c r="C58" t="s">
        <v>13</v>
      </c>
      <c r="D58" t="s">
        <v>24</v>
      </c>
      <c r="E58" t="s">
        <v>20</v>
      </c>
      <c r="F58" s="7">
        <v>44980</v>
      </c>
      <c r="G58">
        <v>362</v>
      </c>
      <c r="H58">
        <v>397.51</v>
      </c>
      <c r="I58">
        <v>2.13</v>
      </c>
      <c r="J58">
        <v>143898.62</v>
      </c>
      <c r="K58">
        <f t="shared" si="0"/>
        <v>143127.56</v>
      </c>
    </row>
    <row r="59" spans="1:11" x14ac:dyDescent="0.45">
      <c r="A59" t="s">
        <v>11</v>
      </c>
      <c r="B59" t="s">
        <v>18</v>
      </c>
      <c r="C59" t="s">
        <v>27</v>
      </c>
      <c r="D59" t="s">
        <v>24</v>
      </c>
      <c r="E59" t="s">
        <v>28</v>
      </c>
      <c r="F59" s="7">
        <v>44981</v>
      </c>
      <c r="G59">
        <v>68</v>
      </c>
      <c r="H59">
        <v>329.23</v>
      </c>
      <c r="I59">
        <v>9.0399999999999991</v>
      </c>
      <c r="J59">
        <v>22387.64</v>
      </c>
      <c r="K59">
        <f t="shared" si="0"/>
        <v>21772.92</v>
      </c>
    </row>
    <row r="60" spans="1:11" x14ac:dyDescent="0.45">
      <c r="A60" t="s">
        <v>17</v>
      </c>
      <c r="B60" t="s">
        <v>18</v>
      </c>
      <c r="C60" t="s">
        <v>19</v>
      </c>
      <c r="D60" t="s">
        <v>24</v>
      </c>
      <c r="E60" t="s">
        <v>28</v>
      </c>
      <c r="F60" s="7">
        <v>44982</v>
      </c>
      <c r="G60">
        <v>68</v>
      </c>
      <c r="H60">
        <v>496.11</v>
      </c>
      <c r="I60">
        <v>241.82</v>
      </c>
      <c r="J60">
        <v>33735.480000000003</v>
      </c>
      <c r="K60">
        <f t="shared" si="0"/>
        <v>17291.72</v>
      </c>
    </row>
    <row r="61" spans="1:11" x14ac:dyDescent="0.45">
      <c r="A61" t="s">
        <v>17</v>
      </c>
      <c r="B61" t="s">
        <v>12</v>
      </c>
      <c r="C61" t="s">
        <v>19</v>
      </c>
      <c r="D61" t="s">
        <v>14</v>
      </c>
      <c r="E61" t="s">
        <v>15</v>
      </c>
      <c r="F61" s="7">
        <v>44983</v>
      </c>
      <c r="G61">
        <v>313</v>
      </c>
      <c r="H61">
        <v>145.51</v>
      </c>
      <c r="I61">
        <v>147.19</v>
      </c>
      <c r="J61">
        <v>45544.63</v>
      </c>
      <c r="K61">
        <f t="shared" si="0"/>
        <v>-525.84000000000219</v>
      </c>
    </row>
    <row r="62" spans="1:11" x14ac:dyDescent="0.45">
      <c r="A62" t="s">
        <v>22</v>
      </c>
      <c r="B62" t="s">
        <v>31</v>
      </c>
      <c r="C62" t="s">
        <v>27</v>
      </c>
      <c r="D62" t="s">
        <v>14</v>
      </c>
      <c r="E62" t="s">
        <v>28</v>
      </c>
      <c r="F62" s="7">
        <v>44984</v>
      </c>
      <c r="G62">
        <v>178</v>
      </c>
      <c r="H62">
        <v>182.78</v>
      </c>
      <c r="I62">
        <v>155.81</v>
      </c>
      <c r="J62">
        <v>32534.84</v>
      </c>
      <c r="K62">
        <f t="shared" si="0"/>
        <v>4800.66</v>
      </c>
    </row>
    <row r="63" spans="1:11" x14ac:dyDescent="0.45">
      <c r="A63" t="s">
        <v>11</v>
      </c>
      <c r="B63" t="s">
        <v>31</v>
      </c>
      <c r="C63" t="s">
        <v>27</v>
      </c>
      <c r="D63" t="s">
        <v>14</v>
      </c>
      <c r="E63" t="s">
        <v>15</v>
      </c>
      <c r="F63" s="7">
        <v>44985</v>
      </c>
      <c r="G63">
        <v>278</v>
      </c>
      <c r="H63">
        <v>195</v>
      </c>
      <c r="I63">
        <v>226.65</v>
      </c>
      <c r="J63">
        <v>54210</v>
      </c>
      <c r="K63">
        <f t="shared" si="0"/>
        <v>-8798.7000000000007</v>
      </c>
    </row>
    <row r="64" spans="1:11" x14ac:dyDescent="0.45">
      <c r="A64" t="s">
        <v>22</v>
      </c>
      <c r="B64" t="s">
        <v>50</v>
      </c>
      <c r="C64" t="s">
        <v>19</v>
      </c>
      <c r="D64" t="s">
        <v>14</v>
      </c>
      <c r="E64" t="s">
        <v>28</v>
      </c>
      <c r="F64" s="7">
        <v>44986</v>
      </c>
      <c r="G64">
        <v>372</v>
      </c>
      <c r="H64">
        <v>235.58</v>
      </c>
      <c r="I64">
        <v>78.33</v>
      </c>
      <c r="J64">
        <v>87635.760000000009</v>
      </c>
      <c r="K64">
        <f t="shared" si="0"/>
        <v>58497</v>
      </c>
    </row>
    <row r="65" spans="1:11" x14ac:dyDescent="0.45">
      <c r="A65" t="s">
        <v>11</v>
      </c>
      <c r="B65" t="s">
        <v>31</v>
      </c>
      <c r="C65" t="s">
        <v>27</v>
      </c>
      <c r="D65" t="s">
        <v>24</v>
      </c>
      <c r="E65" t="s">
        <v>28</v>
      </c>
      <c r="F65" s="7">
        <v>44987</v>
      </c>
      <c r="G65">
        <v>54</v>
      </c>
      <c r="H65">
        <v>418.82</v>
      </c>
      <c r="I65">
        <v>86.28</v>
      </c>
      <c r="J65">
        <v>22616.28</v>
      </c>
      <c r="K65">
        <f t="shared" si="0"/>
        <v>17957.159999999996</v>
      </c>
    </row>
    <row r="66" spans="1:11" x14ac:dyDescent="0.45">
      <c r="A66" t="s">
        <v>11</v>
      </c>
      <c r="B66" t="s">
        <v>31</v>
      </c>
      <c r="C66" t="s">
        <v>19</v>
      </c>
      <c r="D66" t="s">
        <v>24</v>
      </c>
      <c r="E66" t="s">
        <v>15</v>
      </c>
      <c r="F66" s="7">
        <v>44988</v>
      </c>
      <c r="G66">
        <v>354</v>
      </c>
      <c r="H66">
        <v>121.72</v>
      </c>
      <c r="I66">
        <v>194.87</v>
      </c>
      <c r="J66">
        <v>43088.88</v>
      </c>
      <c r="K66">
        <f t="shared" si="0"/>
        <v>-25895.100000000002</v>
      </c>
    </row>
    <row r="67" spans="1:11" x14ac:dyDescent="0.45">
      <c r="A67" t="s">
        <v>22</v>
      </c>
      <c r="B67" t="s">
        <v>31</v>
      </c>
      <c r="C67" t="s">
        <v>19</v>
      </c>
      <c r="D67" t="s">
        <v>14</v>
      </c>
      <c r="E67" t="s">
        <v>15</v>
      </c>
      <c r="F67" s="7">
        <v>44989</v>
      </c>
      <c r="G67">
        <v>190</v>
      </c>
      <c r="H67">
        <v>389.12</v>
      </c>
      <c r="I67">
        <v>302.19</v>
      </c>
      <c r="J67">
        <v>73932.800000000003</v>
      </c>
      <c r="K67">
        <f t="shared" si="0"/>
        <v>16516.7</v>
      </c>
    </row>
    <row r="68" spans="1:11" x14ac:dyDescent="0.45">
      <c r="A68" t="s">
        <v>17</v>
      </c>
      <c r="B68" t="s">
        <v>26</v>
      </c>
      <c r="C68" t="s">
        <v>13</v>
      </c>
      <c r="D68" t="s">
        <v>14</v>
      </c>
      <c r="E68" t="s">
        <v>15</v>
      </c>
      <c r="F68" s="7">
        <v>44990</v>
      </c>
      <c r="G68">
        <v>179</v>
      </c>
      <c r="H68">
        <v>205.63</v>
      </c>
      <c r="I68">
        <v>248.56</v>
      </c>
      <c r="J68">
        <v>36807.769999999997</v>
      </c>
      <c r="K68">
        <f t="shared" si="0"/>
        <v>-7684.4700000000012</v>
      </c>
    </row>
    <row r="69" spans="1:11" x14ac:dyDescent="0.45">
      <c r="A69" t="s">
        <v>11</v>
      </c>
      <c r="B69" t="s">
        <v>50</v>
      </c>
      <c r="C69" t="s">
        <v>42</v>
      </c>
      <c r="D69" t="s">
        <v>24</v>
      </c>
      <c r="E69" t="s">
        <v>28</v>
      </c>
      <c r="F69" s="7">
        <v>44991</v>
      </c>
      <c r="G69">
        <v>365</v>
      </c>
      <c r="H69">
        <v>302.92</v>
      </c>
      <c r="I69">
        <v>120.35</v>
      </c>
      <c r="J69">
        <v>110565.8</v>
      </c>
      <c r="K69">
        <f t="shared" si="0"/>
        <v>66638.05</v>
      </c>
    </row>
    <row r="70" spans="1:11" x14ac:dyDescent="0.45">
      <c r="A70" t="s">
        <v>48</v>
      </c>
      <c r="B70" t="s">
        <v>18</v>
      </c>
      <c r="C70" t="s">
        <v>19</v>
      </c>
      <c r="D70" t="s">
        <v>14</v>
      </c>
      <c r="E70" t="s">
        <v>28</v>
      </c>
      <c r="F70" s="7">
        <v>44992</v>
      </c>
      <c r="G70">
        <v>200</v>
      </c>
      <c r="H70">
        <v>318.11</v>
      </c>
      <c r="I70">
        <v>173.27</v>
      </c>
      <c r="J70">
        <v>63622</v>
      </c>
      <c r="K70">
        <f t="shared" ref="K70:K133" si="1">(H70-I70)*G70</f>
        <v>28968</v>
      </c>
    </row>
    <row r="71" spans="1:11" x14ac:dyDescent="0.45">
      <c r="A71" t="s">
        <v>17</v>
      </c>
      <c r="B71" t="s">
        <v>12</v>
      </c>
      <c r="C71" t="s">
        <v>23</v>
      </c>
      <c r="D71" t="s">
        <v>24</v>
      </c>
      <c r="E71" t="s">
        <v>20</v>
      </c>
      <c r="F71" s="7">
        <v>44993</v>
      </c>
      <c r="G71">
        <v>164</v>
      </c>
      <c r="H71">
        <v>189.56</v>
      </c>
      <c r="I71">
        <v>69.92</v>
      </c>
      <c r="J71">
        <v>31087.84</v>
      </c>
      <c r="K71">
        <f t="shared" si="1"/>
        <v>19620.96</v>
      </c>
    </row>
    <row r="72" spans="1:11" x14ac:dyDescent="0.45">
      <c r="A72" t="s">
        <v>22</v>
      </c>
      <c r="B72" t="s">
        <v>18</v>
      </c>
      <c r="C72" t="s">
        <v>42</v>
      </c>
      <c r="D72" t="s">
        <v>14</v>
      </c>
      <c r="E72" t="s">
        <v>15</v>
      </c>
      <c r="F72" s="7">
        <v>44994</v>
      </c>
      <c r="G72">
        <v>431</v>
      </c>
      <c r="H72">
        <v>258.74</v>
      </c>
      <c r="I72">
        <v>31.7</v>
      </c>
      <c r="J72">
        <v>111516.94</v>
      </c>
      <c r="K72">
        <f t="shared" si="1"/>
        <v>97854.24</v>
      </c>
    </row>
    <row r="73" spans="1:11" x14ac:dyDescent="0.45">
      <c r="A73" t="s">
        <v>17</v>
      </c>
      <c r="B73" t="s">
        <v>50</v>
      </c>
      <c r="C73" t="s">
        <v>42</v>
      </c>
      <c r="D73" t="s">
        <v>14</v>
      </c>
      <c r="E73" t="s">
        <v>28</v>
      </c>
      <c r="F73" s="7">
        <v>44995</v>
      </c>
      <c r="G73">
        <v>197</v>
      </c>
      <c r="H73">
        <v>209.45</v>
      </c>
      <c r="I73">
        <v>313.51</v>
      </c>
      <c r="J73">
        <v>41261.649999999987</v>
      </c>
      <c r="K73">
        <f t="shared" si="1"/>
        <v>-20499.82</v>
      </c>
    </row>
    <row r="74" spans="1:11" x14ac:dyDescent="0.45">
      <c r="A74" t="s">
        <v>48</v>
      </c>
      <c r="B74" t="s">
        <v>12</v>
      </c>
      <c r="C74" t="s">
        <v>42</v>
      </c>
      <c r="D74" t="s">
        <v>14</v>
      </c>
      <c r="E74" t="s">
        <v>28</v>
      </c>
      <c r="F74" s="7">
        <v>44996</v>
      </c>
      <c r="G74">
        <v>16</v>
      </c>
      <c r="H74">
        <v>39.22</v>
      </c>
      <c r="I74">
        <v>107.62</v>
      </c>
      <c r="J74">
        <v>627.52</v>
      </c>
      <c r="K74">
        <f t="shared" si="1"/>
        <v>-1094.4000000000001</v>
      </c>
    </row>
    <row r="75" spans="1:11" x14ac:dyDescent="0.45">
      <c r="A75" t="s">
        <v>48</v>
      </c>
      <c r="B75" t="s">
        <v>50</v>
      </c>
      <c r="C75" t="s">
        <v>13</v>
      </c>
      <c r="D75" t="s">
        <v>14</v>
      </c>
      <c r="E75" t="s">
        <v>15</v>
      </c>
      <c r="F75" s="7">
        <v>44997</v>
      </c>
      <c r="G75">
        <v>142</v>
      </c>
      <c r="H75">
        <v>221.4</v>
      </c>
      <c r="I75">
        <v>72.75</v>
      </c>
      <c r="J75">
        <v>31438.799999999999</v>
      </c>
      <c r="K75">
        <f t="shared" si="1"/>
        <v>21108.3</v>
      </c>
    </row>
    <row r="76" spans="1:11" x14ac:dyDescent="0.45">
      <c r="A76" t="s">
        <v>48</v>
      </c>
      <c r="B76" t="s">
        <v>31</v>
      </c>
      <c r="C76" t="s">
        <v>19</v>
      </c>
      <c r="D76" t="s">
        <v>14</v>
      </c>
      <c r="E76" t="s">
        <v>20</v>
      </c>
      <c r="F76" s="7">
        <v>44998</v>
      </c>
      <c r="G76">
        <v>244</v>
      </c>
      <c r="H76">
        <v>53.21</v>
      </c>
      <c r="I76">
        <v>277.26</v>
      </c>
      <c r="J76">
        <v>12983.24</v>
      </c>
      <c r="K76">
        <f t="shared" si="1"/>
        <v>-54668.2</v>
      </c>
    </row>
    <row r="77" spans="1:11" x14ac:dyDescent="0.45">
      <c r="A77" t="s">
        <v>22</v>
      </c>
      <c r="B77" t="s">
        <v>12</v>
      </c>
      <c r="C77" t="s">
        <v>13</v>
      </c>
      <c r="D77" t="s">
        <v>14</v>
      </c>
      <c r="E77" t="s">
        <v>15</v>
      </c>
      <c r="F77" s="7">
        <v>44999</v>
      </c>
      <c r="G77">
        <v>54</v>
      </c>
      <c r="H77">
        <v>205.49</v>
      </c>
      <c r="I77">
        <v>247.98</v>
      </c>
      <c r="J77">
        <v>11096.46</v>
      </c>
      <c r="K77">
        <f t="shared" si="1"/>
        <v>-2294.4599999999991</v>
      </c>
    </row>
    <row r="78" spans="1:11" x14ac:dyDescent="0.45">
      <c r="A78" t="s">
        <v>48</v>
      </c>
      <c r="B78" t="s">
        <v>31</v>
      </c>
      <c r="C78" t="s">
        <v>19</v>
      </c>
      <c r="D78" t="s">
        <v>14</v>
      </c>
      <c r="E78" t="s">
        <v>20</v>
      </c>
      <c r="F78" s="7">
        <v>45000</v>
      </c>
      <c r="G78">
        <v>323</v>
      </c>
      <c r="H78">
        <v>298.49</v>
      </c>
      <c r="I78">
        <v>254.01</v>
      </c>
      <c r="J78">
        <v>96412.27</v>
      </c>
      <c r="K78">
        <f t="shared" si="1"/>
        <v>14367.040000000006</v>
      </c>
    </row>
    <row r="79" spans="1:11" x14ac:dyDescent="0.45">
      <c r="A79" t="s">
        <v>22</v>
      </c>
      <c r="B79" t="s">
        <v>18</v>
      </c>
      <c r="C79" t="s">
        <v>13</v>
      </c>
      <c r="D79" t="s">
        <v>24</v>
      </c>
      <c r="E79" t="s">
        <v>28</v>
      </c>
      <c r="F79" s="7">
        <v>45001</v>
      </c>
      <c r="G79">
        <v>258</v>
      </c>
      <c r="H79">
        <v>291.81</v>
      </c>
      <c r="I79">
        <v>93.1</v>
      </c>
      <c r="J79">
        <v>75286.98</v>
      </c>
      <c r="K79">
        <f t="shared" si="1"/>
        <v>51267.18</v>
      </c>
    </row>
    <row r="80" spans="1:11" x14ac:dyDescent="0.45">
      <c r="A80" t="s">
        <v>48</v>
      </c>
      <c r="B80" t="s">
        <v>18</v>
      </c>
      <c r="C80" t="s">
        <v>13</v>
      </c>
      <c r="D80" t="s">
        <v>24</v>
      </c>
      <c r="E80" t="s">
        <v>20</v>
      </c>
      <c r="F80" s="7">
        <v>45002</v>
      </c>
      <c r="G80">
        <v>40</v>
      </c>
      <c r="H80">
        <v>333</v>
      </c>
      <c r="I80">
        <v>94.59</v>
      </c>
      <c r="J80">
        <v>13320</v>
      </c>
      <c r="K80">
        <f t="shared" si="1"/>
        <v>9536.4</v>
      </c>
    </row>
    <row r="81" spans="1:11" x14ac:dyDescent="0.45">
      <c r="A81" t="s">
        <v>17</v>
      </c>
      <c r="B81" t="s">
        <v>12</v>
      </c>
      <c r="C81" t="s">
        <v>23</v>
      </c>
      <c r="D81" t="s">
        <v>24</v>
      </c>
      <c r="E81" t="s">
        <v>28</v>
      </c>
      <c r="F81" s="7">
        <v>45003</v>
      </c>
      <c r="G81">
        <v>32</v>
      </c>
      <c r="H81">
        <v>52.15</v>
      </c>
      <c r="I81">
        <v>89.88</v>
      </c>
      <c r="J81">
        <v>1668.8</v>
      </c>
      <c r="K81">
        <f t="shared" si="1"/>
        <v>-1207.3599999999999</v>
      </c>
    </row>
    <row r="82" spans="1:11" x14ac:dyDescent="0.45">
      <c r="A82" t="s">
        <v>17</v>
      </c>
      <c r="B82" t="s">
        <v>12</v>
      </c>
      <c r="C82" t="s">
        <v>13</v>
      </c>
      <c r="D82" t="s">
        <v>24</v>
      </c>
      <c r="E82" t="s">
        <v>15</v>
      </c>
      <c r="F82" s="7">
        <v>45004</v>
      </c>
      <c r="G82">
        <v>435</v>
      </c>
      <c r="H82">
        <v>327.8</v>
      </c>
      <c r="I82">
        <v>71.150000000000006</v>
      </c>
      <c r="J82">
        <v>142593</v>
      </c>
      <c r="K82">
        <f t="shared" si="1"/>
        <v>111642.74999999999</v>
      </c>
    </row>
    <row r="83" spans="1:11" x14ac:dyDescent="0.45">
      <c r="A83" t="s">
        <v>11</v>
      </c>
      <c r="B83" t="s">
        <v>50</v>
      </c>
      <c r="C83" t="s">
        <v>27</v>
      </c>
      <c r="D83" t="s">
        <v>24</v>
      </c>
      <c r="E83" t="s">
        <v>15</v>
      </c>
      <c r="F83" s="7">
        <v>45005</v>
      </c>
      <c r="G83">
        <v>403</v>
      </c>
      <c r="H83">
        <v>159.51</v>
      </c>
      <c r="I83">
        <v>262.98</v>
      </c>
      <c r="J83">
        <v>64282.53</v>
      </c>
      <c r="K83">
        <f t="shared" si="1"/>
        <v>-41698.410000000011</v>
      </c>
    </row>
    <row r="84" spans="1:11" x14ac:dyDescent="0.45">
      <c r="A84" t="s">
        <v>17</v>
      </c>
      <c r="B84" t="s">
        <v>50</v>
      </c>
      <c r="C84" t="s">
        <v>23</v>
      </c>
      <c r="D84" t="s">
        <v>14</v>
      </c>
      <c r="E84" t="s">
        <v>15</v>
      </c>
      <c r="F84" s="7">
        <v>45006</v>
      </c>
      <c r="G84">
        <v>169</v>
      </c>
      <c r="H84">
        <v>255.39500000000001</v>
      </c>
      <c r="I84">
        <v>339.51</v>
      </c>
      <c r="J84">
        <v>43161.754999999997</v>
      </c>
      <c r="K84">
        <f t="shared" si="1"/>
        <v>-14215.434999999996</v>
      </c>
    </row>
    <row r="85" spans="1:11" x14ac:dyDescent="0.45">
      <c r="A85" t="s">
        <v>11</v>
      </c>
      <c r="B85" t="s">
        <v>31</v>
      </c>
      <c r="C85" t="s">
        <v>13</v>
      </c>
      <c r="D85" t="s">
        <v>14</v>
      </c>
      <c r="E85" t="s">
        <v>20</v>
      </c>
      <c r="F85" s="7">
        <v>45007</v>
      </c>
      <c r="G85">
        <v>372</v>
      </c>
      <c r="H85">
        <v>429.7</v>
      </c>
      <c r="I85">
        <v>290.27999999999997</v>
      </c>
      <c r="J85">
        <v>159848.4</v>
      </c>
      <c r="K85">
        <f t="shared" si="1"/>
        <v>51864.240000000005</v>
      </c>
    </row>
    <row r="86" spans="1:11" x14ac:dyDescent="0.45">
      <c r="A86" t="s">
        <v>17</v>
      </c>
      <c r="B86" t="s">
        <v>12</v>
      </c>
      <c r="C86" t="s">
        <v>42</v>
      </c>
      <c r="D86" t="s">
        <v>24</v>
      </c>
      <c r="E86" t="s">
        <v>28</v>
      </c>
      <c r="F86" s="7">
        <v>45008</v>
      </c>
      <c r="G86">
        <v>446</v>
      </c>
      <c r="H86">
        <v>9.4700000000000006</v>
      </c>
      <c r="I86">
        <v>317.25</v>
      </c>
      <c r="J86">
        <v>4223.62</v>
      </c>
      <c r="K86">
        <f t="shared" si="1"/>
        <v>-137269.87999999998</v>
      </c>
    </row>
    <row r="87" spans="1:11" x14ac:dyDescent="0.45">
      <c r="A87" t="s">
        <v>22</v>
      </c>
      <c r="B87" t="s">
        <v>18</v>
      </c>
      <c r="C87" t="s">
        <v>27</v>
      </c>
      <c r="D87" t="s">
        <v>14</v>
      </c>
      <c r="E87" t="s">
        <v>15</v>
      </c>
      <c r="F87" s="7">
        <v>45009</v>
      </c>
      <c r="G87">
        <v>167</v>
      </c>
      <c r="H87">
        <v>296.26</v>
      </c>
      <c r="I87">
        <v>163.11000000000001</v>
      </c>
      <c r="J87">
        <v>49475.42</v>
      </c>
      <c r="K87">
        <f t="shared" si="1"/>
        <v>22236.049999999996</v>
      </c>
    </row>
    <row r="88" spans="1:11" x14ac:dyDescent="0.45">
      <c r="A88" t="s">
        <v>17</v>
      </c>
      <c r="B88" t="s">
        <v>50</v>
      </c>
      <c r="C88" t="s">
        <v>27</v>
      </c>
      <c r="D88" t="s">
        <v>24</v>
      </c>
      <c r="E88" t="s">
        <v>15</v>
      </c>
      <c r="F88" s="7">
        <v>45010</v>
      </c>
      <c r="G88">
        <v>48</v>
      </c>
      <c r="H88">
        <v>301.36</v>
      </c>
      <c r="I88">
        <v>262.32</v>
      </c>
      <c r="J88">
        <v>14465.28</v>
      </c>
      <c r="K88">
        <f t="shared" si="1"/>
        <v>1873.920000000001</v>
      </c>
    </row>
    <row r="89" spans="1:11" x14ac:dyDescent="0.45">
      <c r="A89" t="s">
        <v>11</v>
      </c>
      <c r="B89" t="s">
        <v>50</v>
      </c>
      <c r="C89" t="s">
        <v>27</v>
      </c>
      <c r="D89" t="s">
        <v>24</v>
      </c>
      <c r="E89" t="s">
        <v>28</v>
      </c>
      <c r="F89" s="7">
        <v>45011</v>
      </c>
      <c r="G89">
        <v>424</v>
      </c>
      <c r="H89">
        <v>201.35</v>
      </c>
      <c r="I89">
        <v>142.99</v>
      </c>
      <c r="J89">
        <v>85372.4</v>
      </c>
      <c r="K89">
        <f t="shared" si="1"/>
        <v>24744.639999999992</v>
      </c>
    </row>
    <row r="90" spans="1:11" x14ac:dyDescent="0.45">
      <c r="A90" t="s">
        <v>11</v>
      </c>
      <c r="B90" t="s">
        <v>18</v>
      </c>
      <c r="C90" t="s">
        <v>23</v>
      </c>
      <c r="D90" t="s">
        <v>14</v>
      </c>
      <c r="E90" t="s">
        <v>15</v>
      </c>
      <c r="F90" s="7">
        <v>45012</v>
      </c>
      <c r="G90">
        <v>91</v>
      </c>
      <c r="H90">
        <v>122.33</v>
      </c>
      <c r="I90">
        <v>211.15</v>
      </c>
      <c r="J90">
        <v>11132.03</v>
      </c>
      <c r="K90">
        <f t="shared" si="1"/>
        <v>-8082.6200000000008</v>
      </c>
    </row>
    <row r="91" spans="1:11" x14ac:dyDescent="0.45">
      <c r="A91" t="s">
        <v>48</v>
      </c>
      <c r="B91" t="s">
        <v>50</v>
      </c>
      <c r="C91" t="s">
        <v>13</v>
      </c>
      <c r="D91" t="s">
        <v>14</v>
      </c>
      <c r="E91" t="s">
        <v>28</v>
      </c>
      <c r="F91" s="7">
        <v>45013</v>
      </c>
      <c r="G91">
        <v>365</v>
      </c>
      <c r="H91">
        <v>121.16</v>
      </c>
      <c r="I91">
        <v>193.69</v>
      </c>
      <c r="J91">
        <v>44223.4</v>
      </c>
      <c r="K91">
        <f t="shared" si="1"/>
        <v>-26473.45</v>
      </c>
    </row>
    <row r="92" spans="1:11" x14ac:dyDescent="0.45">
      <c r="A92" t="s">
        <v>22</v>
      </c>
      <c r="B92" t="s">
        <v>31</v>
      </c>
      <c r="C92" t="s">
        <v>13</v>
      </c>
      <c r="D92" t="s">
        <v>14</v>
      </c>
      <c r="E92" t="s">
        <v>28</v>
      </c>
      <c r="F92" s="7">
        <v>45014</v>
      </c>
      <c r="G92">
        <v>267</v>
      </c>
      <c r="H92">
        <v>442.44</v>
      </c>
      <c r="I92">
        <v>72.400000000000006</v>
      </c>
      <c r="J92">
        <v>118131.48</v>
      </c>
      <c r="K92">
        <f t="shared" si="1"/>
        <v>98800.68</v>
      </c>
    </row>
    <row r="93" spans="1:11" x14ac:dyDescent="0.45">
      <c r="A93" t="s">
        <v>17</v>
      </c>
      <c r="B93" t="s">
        <v>12</v>
      </c>
      <c r="C93" t="s">
        <v>42</v>
      </c>
      <c r="D93" t="s">
        <v>24</v>
      </c>
      <c r="E93" t="s">
        <v>28</v>
      </c>
      <c r="F93" s="7">
        <v>45015</v>
      </c>
      <c r="G93">
        <v>215</v>
      </c>
      <c r="H93">
        <v>223.8</v>
      </c>
      <c r="I93">
        <v>156.06</v>
      </c>
      <c r="J93">
        <v>48117</v>
      </c>
      <c r="K93">
        <f t="shared" si="1"/>
        <v>14564.100000000002</v>
      </c>
    </row>
    <row r="94" spans="1:11" x14ac:dyDescent="0.45">
      <c r="A94" t="s">
        <v>48</v>
      </c>
      <c r="B94" t="s">
        <v>18</v>
      </c>
      <c r="C94" t="s">
        <v>42</v>
      </c>
      <c r="D94" t="s">
        <v>14</v>
      </c>
      <c r="E94" t="s">
        <v>28</v>
      </c>
      <c r="F94" s="7">
        <v>45016</v>
      </c>
      <c r="G94">
        <v>86</v>
      </c>
      <c r="H94">
        <v>168.79</v>
      </c>
      <c r="I94">
        <v>385.6</v>
      </c>
      <c r="J94">
        <v>14515.94</v>
      </c>
      <c r="K94">
        <f t="shared" si="1"/>
        <v>-18645.660000000003</v>
      </c>
    </row>
    <row r="95" spans="1:11" x14ac:dyDescent="0.45">
      <c r="A95" t="s">
        <v>17</v>
      </c>
      <c r="B95" t="s">
        <v>12</v>
      </c>
      <c r="C95" t="s">
        <v>27</v>
      </c>
      <c r="D95" t="s">
        <v>24</v>
      </c>
      <c r="E95" t="s">
        <v>28</v>
      </c>
      <c r="F95" s="7">
        <v>45017</v>
      </c>
      <c r="G95">
        <v>486</v>
      </c>
      <c r="H95">
        <v>227.14</v>
      </c>
      <c r="I95">
        <v>100.93</v>
      </c>
      <c r="J95">
        <v>110390.04</v>
      </c>
      <c r="K95">
        <f t="shared" si="1"/>
        <v>61338.05999999999</v>
      </c>
    </row>
    <row r="96" spans="1:11" x14ac:dyDescent="0.45">
      <c r="A96" t="s">
        <v>17</v>
      </c>
      <c r="B96" t="s">
        <v>50</v>
      </c>
      <c r="C96" t="s">
        <v>42</v>
      </c>
      <c r="D96" t="s">
        <v>24</v>
      </c>
      <c r="E96" t="s">
        <v>20</v>
      </c>
      <c r="F96" s="7">
        <v>45018</v>
      </c>
      <c r="G96">
        <v>21</v>
      </c>
      <c r="H96">
        <v>255.39500000000001</v>
      </c>
      <c r="I96">
        <v>55.25</v>
      </c>
      <c r="J96">
        <v>5363.2950000000001</v>
      </c>
      <c r="K96">
        <f t="shared" si="1"/>
        <v>4203.0450000000001</v>
      </c>
    </row>
    <row r="97" spans="1:11" x14ac:dyDescent="0.45">
      <c r="A97" t="s">
        <v>48</v>
      </c>
      <c r="B97" t="s">
        <v>50</v>
      </c>
      <c r="C97" t="s">
        <v>23</v>
      </c>
      <c r="D97" t="s">
        <v>24</v>
      </c>
      <c r="E97" t="s">
        <v>15</v>
      </c>
      <c r="F97" s="7">
        <v>45019</v>
      </c>
      <c r="G97">
        <v>304</v>
      </c>
      <c r="H97">
        <v>77.150000000000006</v>
      </c>
      <c r="I97">
        <v>168.6</v>
      </c>
      <c r="J97">
        <v>23453.599999999999</v>
      </c>
      <c r="K97">
        <f t="shared" si="1"/>
        <v>-27800.799999999996</v>
      </c>
    </row>
    <row r="98" spans="1:11" x14ac:dyDescent="0.45">
      <c r="A98" t="s">
        <v>48</v>
      </c>
      <c r="B98" t="s">
        <v>18</v>
      </c>
      <c r="C98" t="s">
        <v>13</v>
      </c>
      <c r="D98" t="s">
        <v>14</v>
      </c>
      <c r="E98" t="s">
        <v>20</v>
      </c>
      <c r="F98" s="7">
        <v>45020</v>
      </c>
      <c r="G98">
        <v>459</v>
      </c>
      <c r="H98">
        <v>227.47</v>
      </c>
      <c r="I98">
        <v>316.55</v>
      </c>
      <c r="J98">
        <v>104408.73</v>
      </c>
      <c r="K98">
        <f t="shared" si="1"/>
        <v>-40887.720000000008</v>
      </c>
    </row>
    <row r="99" spans="1:11" x14ac:dyDescent="0.45">
      <c r="A99" t="s">
        <v>48</v>
      </c>
      <c r="B99" t="s">
        <v>31</v>
      </c>
      <c r="C99" t="s">
        <v>27</v>
      </c>
      <c r="D99" t="s">
        <v>14</v>
      </c>
      <c r="E99" t="s">
        <v>15</v>
      </c>
      <c r="F99" s="7">
        <v>45021</v>
      </c>
      <c r="G99">
        <v>233</v>
      </c>
      <c r="H99">
        <v>296</v>
      </c>
      <c r="I99">
        <v>233.69</v>
      </c>
      <c r="J99">
        <v>68968</v>
      </c>
      <c r="K99">
        <f t="shared" si="1"/>
        <v>14518.230000000001</v>
      </c>
    </row>
    <row r="100" spans="1:11" x14ac:dyDescent="0.45">
      <c r="A100" t="s">
        <v>48</v>
      </c>
      <c r="B100" t="s">
        <v>26</v>
      </c>
      <c r="C100" t="s">
        <v>42</v>
      </c>
      <c r="D100" t="s">
        <v>24</v>
      </c>
      <c r="E100" t="s">
        <v>20</v>
      </c>
      <c r="F100" s="7">
        <v>45022</v>
      </c>
      <c r="G100">
        <v>22</v>
      </c>
      <c r="H100">
        <v>474.55</v>
      </c>
      <c r="I100">
        <v>273.02999999999997</v>
      </c>
      <c r="J100">
        <v>10440.1</v>
      </c>
      <c r="K100">
        <f t="shared" si="1"/>
        <v>4433.4400000000005</v>
      </c>
    </row>
    <row r="101" spans="1:11" x14ac:dyDescent="0.45">
      <c r="A101" t="s">
        <v>48</v>
      </c>
      <c r="B101" t="s">
        <v>18</v>
      </c>
      <c r="C101" t="s">
        <v>23</v>
      </c>
      <c r="D101" t="s">
        <v>14</v>
      </c>
      <c r="E101" t="s">
        <v>28</v>
      </c>
      <c r="F101" s="7">
        <v>45023</v>
      </c>
      <c r="G101">
        <v>55</v>
      </c>
      <c r="H101">
        <v>130</v>
      </c>
      <c r="I101">
        <v>77.5</v>
      </c>
      <c r="J101">
        <v>7150</v>
      </c>
      <c r="K101">
        <f t="shared" si="1"/>
        <v>2887.5</v>
      </c>
    </row>
    <row r="102" spans="1:11" x14ac:dyDescent="0.45">
      <c r="A102" t="s">
        <v>17</v>
      </c>
      <c r="B102" t="s">
        <v>26</v>
      </c>
      <c r="C102" t="s">
        <v>23</v>
      </c>
      <c r="D102" t="s">
        <v>14</v>
      </c>
      <c r="E102" t="s">
        <v>15</v>
      </c>
      <c r="F102" s="7">
        <v>45024</v>
      </c>
      <c r="G102">
        <v>164</v>
      </c>
      <c r="H102">
        <v>182.83</v>
      </c>
      <c r="I102">
        <v>248.34</v>
      </c>
      <c r="J102">
        <v>29984.12</v>
      </c>
      <c r="K102">
        <f t="shared" si="1"/>
        <v>-10743.64</v>
      </c>
    </row>
    <row r="103" spans="1:11" x14ac:dyDescent="0.45">
      <c r="A103" t="s">
        <v>48</v>
      </c>
      <c r="B103" t="s">
        <v>26</v>
      </c>
      <c r="C103" t="s">
        <v>42</v>
      </c>
      <c r="D103" t="s">
        <v>14</v>
      </c>
      <c r="E103" t="s">
        <v>15</v>
      </c>
      <c r="F103" s="7">
        <v>45025</v>
      </c>
      <c r="G103">
        <v>122</v>
      </c>
      <c r="H103">
        <v>192.78</v>
      </c>
      <c r="I103">
        <v>130.75</v>
      </c>
      <c r="J103">
        <v>23519.16</v>
      </c>
      <c r="K103">
        <f t="shared" si="1"/>
        <v>7567.66</v>
      </c>
    </row>
    <row r="104" spans="1:11" x14ac:dyDescent="0.45">
      <c r="A104" t="s">
        <v>22</v>
      </c>
      <c r="B104" t="s">
        <v>31</v>
      </c>
      <c r="C104" t="s">
        <v>13</v>
      </c>
      <c r="D104" t="s">
        <v>24</v>
      </c>
      <c r="E104" t="s">
        <v>20</v>
      </c>
      <c r="F104" s="7">
        <v>45026</v>
      </c>
      <c r="G104">
        <v>242</v>
      </c>
      <c r="H104">
        <v>304.74</v>
      </c>
      <c r="I104">
        <v>334.05</v>
      </c>
      <c r="J104">
        <v>73747.08</v>
      </c>
      <c r="K104">
        <f t="shared" si="1"/>
        <v>-7093.02</v>
      </c>
    </row>
    <row r="105" spans="1:11" x14ac:dyDescent="0.45">
      <c r="A105" t="s">
        <v>11</v>
      </c>
      <c r="B105" t="s">
        <v>26</v>
      </c>
      <c r="C105" t="s">
        <v>42</v>
      </c>
      <c r="D105" t="s">
        <v>24</v>
      </c>
      <c r="E105" t="s">
        <v>20</v>
      </c>
      <c r="F105" s="7">
        <v>45027</v>
      </c>
      <c r="G105">
        <v>26</v>
      </c>
      <c r="H105">
        <v>181.58</v>
      </c>
      <c r="I105">
        <v>252.46</v>
      </c>
      <c r="J105">
        <v>4721.08</v>
      </c>
      <c r="K105">
        <f t="shared" si="1"/>
        <v>-1842.8799999999999</v>
      </c>
    </row>
    <row r="106" spans="1:11" x14ac:dyDescent="0.45">
      <c r="A106" t="s">
        <v>48</v>
      </c>
      <c r="B106" t="s">
        <v>26</v>
      </c>
      <c r="C106" t="s">
        <v>27</v>
      </c>
      <c r="D106" t="s">
        <v>14</v>
      </c>
      <c r="E106" t="s">
        <v>15</v>
      </c>
      <c r="F106" s="7">
        <v>45028</v>
      </c>
      <c r="G106">
        <v>369</v>
      </c>
      <c r="H106">
        <v>269.08999999999997</v>
      </c>
      <c r="I106">
        <v>81.14</v>
      </c>
      <c r="J106">
        <v>99294.209999999992</v>
      </c>
      <c r="K106">
        <f t="shared" si="1"/>
        <v>69353.55</v>
      </c>
    </row>
    <row r="107" spans="1:11" x14ac:dyDescent="0.45">
      <c r="A107" t="s">
        <v>48</v>
      </c>
      <c r="B107" t="s">
        <v>31</v>
      </c>
      <c r="C107" t="s">
        <v>42</v>
      </c>
      <c r="D107" t="s">
        <v>24</v>
      </c>
      <c r="E107" t="s">
        <v>20</v>
      </c>
      <c r="F107" s="7">
        <v>45029</v>
      </c>
      <c r="G107">
        <v>232</v>
      </c>
      <c r="H107">
        <v>391.99</v>
      </c>
      <c r="I107">
        <v>27.72</v>
      </c>
      <c r="J107">
        <v>90941.680000000008</v>
      </c>
      <c r="K107">
        <f t="shared" si="1"/>
        <v>84510.64</v>
      </c>
    </row>
    <row r="108" spans="1:11" x14ac:dyDescent="0.45">
      <c r="A108" t="s">
        <v>17</v>
      </c>
      <c r="B108" t="s">
        <v>26</v>
      </c>
      <c r="C108" t="s">
        <v>23</v>
      </c>
      <c r="D108" t="s">
        <v>14</v>
      </c>
      <c r="E108" t="s">
        <v>20</v>
      </c>
      <c r="F108" s="7">
        <v>45030</v>
      </c>
      <c r="G108">
        <v>363</v>
      </c>
      <c r="H108">
        <v>354.17</v>
      </c>
      <c r="I108">
        <v>18.97</v>
      </c>
      <c r="J108">
        <v>128563.71</v>
      </c>
      <c r="K108">
        <f t="shared" si="1"/>
        <v>121677.60000000002</v>
      </c>
    </row>
    <row r="109" spans="1:11" x14ac:dyDescent="0.45">
      <c r="A109" t="s">
        <v>48</v>
      </c>
      <c r="B109" t="s">
        <v>26</v>
      </c>
      <c r="C109" t="s">
        <v>42</v>
      </c>
      <c r="D109" t="s">
        <v>14</v>
      </c>
      <c r="E109" t="s">
        <v>20</v>
      </c>
      <c r="F109" s="7">
        <v>45031</v>
      </c>
      <c r="G109">
        <v>197</v>
      </c>
      <c r="H109">
        <v>225.95</v>
      </c>
      <c r="I109">
        <v>149.82</v>
      </c>
      <c r="J109">
        <v>44512.149999999987</v>
      </c>
      <c r="K109">
        <f t="shared" si="1"/>
        <v>14997.609999999999</v>
      </c>
    </row>
    <row r="110" spans="1:11" x14ac:dyDescent="0.45">
      <c r="A110" t="s">
        <v>48</v>
      </c>
      <c r="B110" t="s">
        <v>26</v>
      </c>
      <c r="C110" t="s">
        <v>13</v>
      </c>
      <c r="D110" t="s">
        <v>14</v>
      </c>
      <c r="E110" t="s">
        <v>28</v>
      </c>
      <c r="F110" s="7">
        <v>45032</v>
      </c>
      <c r="G110">
        <v>457</v>
      </c>
      <c r="H110">
        <v>432.79</v>
      </c>
      <c r="I110">
        <v>107.81</v>
      </c>
      <c r="J110">
        <v>197785.03</v>
      </c>
      <c r="K110">
        <f t="shared" si="1"/>
        <v>148515.86000000002</v>
      </c>
    </row>
    <row r="111" spans="1:11" x14ac:dyDescent="0.45">
      <c r="A111" t="s">
        <v>48</v>
      </c>
      <c r="B111" t="s">
        <v>18</v>
      </c>
      <c r="C111" t="s">
        <v>19</v>
      </c>
      <c r="D111" t="s">
        <v>14</v>
      </c>
      <c r="E111" t="s">
        <v>28</v>
      </c>
      <c r="F111" s="7">
        <v>45033</v>
      </c>
      <c r="G111">
        <v>353</v>
      </c>
      <c r="H111">
        <v>281.27999999999997</v>
      </c>
      <c r="I111">
        <v>259.14</v>
      </c>
      <c r="J111">
        <v>99291.839999999997</v>
      </c>
      <c r="K111">
        <f t="shared" si="1"/>
        <v>7815.4199999999955</v>
      </c>
    </row>
    <row r="112" spans="1:11" x14ac:dyDescent="0.45">
      <c r="A112" t="s">
        <v>17</v>
      </c>
      <c r="B112" t="s">
        <v>18</v>
      </c>
      <c r="C112" t="s">
        <v>42</v>
      </c>
      <c r="D112" t="s">
        <v>24</v>
      </c>
      <c r="E112" t="s">
        <v>20</v>
      </c>
      <c r="F112" s="7">
        <v>45034</v>
      </c>
      <c r="G112">
        <v>374</v>
      </c>
      <c r="H112">
        <v>272.25</v>
      </c>
      <c r="I112">
        <v>200.73</v>
      </c>
      <c r="J112">
        <v>101821.5</v>
      </c>
      <c r="K112">
        <f t="shared" si="1"/>
        <v>26748.480000000003</v>
      </c>
    </row>
    <row r="113" spans="1:11" x14ac:dyDescent="0.45">
      <c r="A113" t="s">
        <v>48</v>
      </c>
      <c r="B113" t="s">
        <v>18</v>
      </c>
      <c r="C113" t="s">
        <v>13</v>
      </c>
      <c r="D113" t="s">
        <v>24</v>
      </c>
      <c r="E113" t="s">
        <v>20</v>
      </c>
      <c r="F113" s="7">
        <v>45035</v>
      </c>
      <c r="G113">
        <v>172</v>
      </c>
      <c r="H113">
        <v>21.92</v>
      </c>
      <c r="I113">
        <v>107.88</v>
      </c>
      <c r="J113">
        <v>3770.24</v>
      </c>
      <c r="K113">
        <f t="shared" si="1"/>
        <v>-14785.119999999999</v>
      </c>
    </row>
    <row r="114" spans="1:11" x14ac:dyDescent="0.45">
      <c r="A114" t="s">
        <v>11</v>
      </c>
      <c r="B114" t="s">
        <v>31</v>
      </c>
      <c r="C114" t="s">
        <v>13</v>
      </c>
      <c r="D114" t="s">
        <v>24</v>
      </c>
      <c r="E114" t="s">
        <v>28</v>
      </c>
      <c r="F114" s="7">
        <v>45036</v>
      </c>
      <c r="G114">
        <v>335</v>
      </c>
      <c r="H114">
        <v>493.41</v>
      </c>
      <c r="I114">
        <v>61.4</v>
      </c>
      <c r="J114">
        <v>165292.35</v>
      </c>
      <c r="K114">
        <f t="shared" si="1"/>
        <v>144723.35</v>
      </c>
    </row>
    <row r="115" spans="1:11" x14ac:dyDescent="0.45">
      <c r="A115" t="s">
        <v>17</v>
      </c>
      <c r="B115" t="s">
        <v>50</v>
      </c>
      <c r="C115" t="s">
        <v>23</v>
      </c>
      <c r="D115" t="s">
        <v>14</v>
      </c>
      <c r="E115" t="s">
        <v>28</v>
      </c>
      <c r="F115" s="7">
        <v>45037</v>
      </c>
      <c r="G115">
        <v>476</v>
      </c>
      <c r="H115">
        <v>65.87</v>
      </c>
      <c r="I115">
        <v>52.63</v>
      </c>
      <c r="J115">
        <v>31354.12</v>
      </c>
      <c r="K115">
        <f t="shared" si="1"/>
        <v>6302.2400000000007</v>
      </c>
    </row>
    <row r="116" spans="1:11" x14ac:dyDescent="0.45">
      <c r="A116" t="s">
        <v>11</v>
      </c>
      <c r="B116" t="s">
        <v>26</v>
      </c>
      <c r="C116" t="s">
        <v>13</v>
      </c>
      <c r="D116" t="s">
        <v>14</v>
      </c>
      <c r="E116" t="s">
        <v>15</v>
      </c>
      <c r="F116" s="7">
        <v>45038</v>
      </c>
      <c r="G116">
        <v>423</v>
      </c>
      <c r="H116">
        <v>119.41</v>
      </c>
      <c r="I116">
        <v>346.13</v>
      </c>
      <c r="J116">
        <v>50510.43</v>
      </c>
      <c r="K116">
        <f t="shared" si="1"/>
        <v>-95902.56</v>
      </c>
    </row>
    <row r="117" spans="1:11" x14ac:dyDescent="0.45">
      <c r="A117" t="s">
        <v>17</v>
      </c>
      <c r="B117" t="s">
        <v>26</v>
      </c>
      <c r="C117" t="s">
        <v>13</v>
      </c>
      <c r="D117" t="s">
        <v>14</v>
      </c>
      <c r="E117" t="s">
        <v>15</v>
      </c>
      <c r="F117" s="7">
        <v>45039</v>
      </c>
      <c r="G117">
        <v>464</v>
      </c>
      <c r="H117">
        <v>30.59</v>
      </c>
      <c r="I117">
        <v>98.9</v>
      </c>
      <c r="J117">
        <v>14193.76</v>
      </c>
      <c r="K117">
        <f t="shared" si="1"/>
        <v>-31695.84</v>
      </c>
    </row>
    <row r="118" spans="1:11" x14ac:dyDescent="0.45">
      <c r="A118" t="s">
        <v>48</v>
      </c>
      <c r="B118" t="s">
        <v>31</v>
      </c>
      <c r="C118" t="s">
        <v>13</v>
      </c>
      <c r="D118" t="s">
        <v>24</v>
      </c>
      <c r="E118" t="s">
        <v>28</v>
      </c>
      <c r="F118" s="7">
        <v>45040</v>
      </c>
      <c r="G118">
        <v>83</v>
      </c>
      <c r="H118">
        <v>321.8</v>
      </c>
      <c r="I118">
        <v>261.38</v>
      </c>
      <c r="J118">
        <v>26709.4</v>
      </c>
      <c r="K118">
        <f t="shared" si="1"/>
        <v>5014.8600000000015</v>
      </c>
    </row>
    <row r="119" spans="1:11" x14ac:dyDescent="0.45">
      <c r="A119" t="s">
        <v>11</v>
      </c>
      <c r="B119" t="s">
        <v>26</v>
      </c>
      <c r="C119" t="s">
        <v>13</v>
      </c>
      <c r="D119" t="s">
        <v>14</v>
      </c>
      <c r="E119" t="s">
        <v>20</v>
      </c>
      <c r="F119" s="7">
        <v>45041</v>
      </c>
      <c r="G119">
        <v>242</v>
      </c>
      <c r="H119">
        <v>116.23</v>
      </c>
      <c r="I119">
        <v>324.64999999999998</v>
      </c>
      <c r="J119">
        <v>28127.66</v>
      </c>
      <c r="K119">
        <f t="shared" si="1"/>
        <v>-50437.639999999992</v>
      </c>
    </row>
    <row r="120" spans="1:11" x14ac:dyDescent="0.45">
      <c r="A120" t="s">
        <v>17</v>
      </c>
      <c r="B120" t="s">
        <v>18</v>
      </c>
      <c r="C120" t="s">
        <v>27</v>
      </c>
      <c r="D120" t="s">
        <v>24</v>
      </c>
      <c r="E120" t="s">
        <v>20</v>
      </c>
      <c r="F120" s="7">
        <v>45042</v>
      </c>
      <c r="G120">
        <v>233</v>
      </c>
      <c r="H120">
        <v>94.11</v>
      </c>
      <c r="I120">
        <v>246.4</v>
      </c>
      <c r="J120">
        <v>21927.63</v>
      </c>
      <c r="K120">
        <f t="shared" si="1"/>
        <v>-35483.570000000007</v>
      </c>
    </row>
    <row r="121" spans="1:11" x14ac:dyDescent="0.45">
      <c r="A121" t="s">
        <v>22</v>
      </c>
      <c r="B121" t="s">
        <v>50</v>
      </c>
      <c r="C121" t="s">
        <v>27</v>
      </c>
      <c r="D121" t="s">
        <v>24</v>
      </c>
      <c r="E121" t="s">
        <v>20</v>
      </c>
      <c r="F121" s="7">
        <v>45043</v>
      </c>
      <c r="G121">
        <v>491</v>
      </c>
      <c r="H121">
        <v>48.84</v>
      </c>
      <c r="I121">
        <v>344.11</v>
      </c>
      <c r="J121">
        <v>23980.44</v>
      </c>
      <c r="K121">
        <f t="shared" si="1"/>
        <v>-144977.56999999998</v>
      </c>
    </row>
    <row r="122" spans="1:11" x14ac:dyDescent="0.45">
      <c r="A122" t="s">
        <v>17</v>
      </c>
      <c r="B122" t="s">
        <v>12</v>
      </c>
      <c r="C122" t="s">
        <v>23</v>
      </c>
      <c r="D122" t="s">
        <v>24</v>
      </c>
      <c r="E122" t="s">
        <v>20</v>
      </c>
      <c r="F122" s="7">
        <v>45044</v>
      </c>
      <c r="G122">
        <v>328</v>
      </c>
      <c r="H122">
        <v>56.14</v>
      </c>
      <c r="I122">
        <v>158.16999999999999</v>
      </c>
      <c r="J122">
        <v>18413.919999999998</v>
      </c>
      <c r="K122">
        <f t="shared" si="1"/>
        <v>-33465.839999999997</v>
      </c>
    </row>
    <row r="123" spans="1:11" x14ac:dyDescent="0.45">
      <c r="A123" t="s">
        <v>17</v>
      </c>
      <c r="B123" t="s">
        <v>26</v>
      </c>
      <c r="C123" t="s">
        <v>42</v>
      </c>
      <c r="D123" t="s">
        <v>24</v>
      </c>
      <c r="E123" t="s">
        <v>15</v>
      </c>
      <c r="F123" s="7">
        <v>45045</v>
      </c>
      <c r="G123">
        <v>421</v>
      </c>
      <c r="H123">
        <v>294.41000000000003</v>
      </c>
      <c r="I123">
        <v>382.58</v>
      </c>
      <c r="J123">
        <v>123946.61</v>
      </c>
      <c r="K123">
        <f t="shared" si="1"/>
        <v>-37119.569999999985</v>
      </c>
    </row>
    <row r="124" spans="1:11" x14ac:dyDescent="0.45">
      <c r="A124" t="s">
        <v>22</v>
      </c>
      <c r="B124" t="s">
        <v>18</v>
      </c>
      <c r="C124" t="s">
        <v>13</v>
      </c>
      <c r="D124" t="s">
        <v>24</v>
      </c>
      <c r="E124" t="s">
        <v>28</v>
      </c>
      <c r="F124" s="7">
        <v>45046</v>
      </c>
      <c r="G124">
        <v>69</v>
      </c>
      <c r="H124">
        <v>345.66</v>
      </c>
      <c r="I124">
        <v>54.99</v>
      </c>
      <c r="J124">
        <v>23850.54</v>
      </c>
      <c r="K124">
        <f t="shared" si="1"/>
        <v>20056.23</v>
      </c>
    </row>
    <row r="125" spans="1:11" x14ac:dyDescent="0.45">
      <c r="A125" t="s">
        <v>17</v>
      </c>
      <c r="B125" t="s">
        <v>12</v>
      </c>
      <c r="C125" t="s">
        <v>42</v>
      </c>
      <c r="D125" t="s">
        <v>24</v>
      </c>
      <c r="E125" t="s">
        <v>20</v>
      </c>
      <c r="F125" s="7">
        <v>45047</v>
      </c>
      <c r="G125">
        <v>344</v>
      </c>
      <c r="H125">
        <v>201.7</v>
      </c>
      <c r="I125">
        <v>42.66</v>
      </c>
      <c r="J125">
        <v>69384.800000000003</v>
      </c>
      <c r="K125">
        <f t="shared" si="1"/>
        <v>54709.759999999995</v>
      </c>
    </row>
    <row r="126" spans="1:11" x14ac:dyDescent="0.45">
      <c r="A126" t="s">
        <v>17</v>
      </c>
      <c r="B126" t="s">
        <v>50</v>
      </c>
      <c r="C126" t="s">
        <v>42</v>
      </c>
      <c r="D126" t="s">
        <v>14</v>
      </c>
      <c r="E126" t="s">
        <v>15</v>
      </c>
      <c r="F126" s="7">
        <v>45048</v>
      </c>
      <c r="G126">
        <v>231</v>
      </c>
      <c r="H126">
        <v>242.55</v>
      </c>
      <c r="I126">
        <v>264.16000000000003</v>
      </c>
      <c r="J126">
        <v>56029.05</v>
      </c>
      <c r="K126">
        <f t="shared" si="1"/>
        <v>-4991.9100000000035</v>
      </c>
    </row>
    <row r="127" spans="1:11" x14ac:dyDescent="0.45">
      <c r="A127" t="s">
        <v>48</v>
      </c>
      <c r="B127" t="s">
        <v>12</v>
      </c>
      <c r="C127" t="s">
        <v>23</v>
      </c>
      <c r="D127" t="s">
        <v>14</v>
      </c>
      <c r="E127" t="s">
        <v>20</v>
      </c>
      <c r="F127" s="7">
        <v>45049</v>
      </c>
      <c r="G127">
        <v>46</v>
      </c>
      <c r="H127">
        <v>344.55</v>
      </c>
      <c r="I127">
        <v>377.25</v>
      </c>
      <c r="J127">
        <v>15849.3</v>
      </c>
      <c r="K127">
        <f t="shared" si="1"/>
        <v>-1504.1999999999994</v>
      </c>
    </row>
    <row r="128" spans="1:11" x14ac:dyDescent="0.45">
      <c r="A128" t="s">
        <v>11</v>
      </c>
      <c r="B128" t="s">
        <v>18</v>
      </c>
      <c r="C128" t="s">
        <v>13</v>
      </c>
      <c r="D128" t="s">
        <v>24</v>
      </c>
      <c r="E128" t="s">
        <v>28</v>
      </c>
      <c r="F128" s="7">
        <v>45050</v>
      </c>
      <c r="G128">
        <v>486</v>
      </c>
      <c r="H128">
        <v>13.6</v>
      </c>
      <c r="I128">
        <v>323.94</v>
      </c>
      <c r="J128">
        <v>6609.5999999999995</v>
      </c>
      <c r="K128">
        <f t="shared" si="1"/>
        <v>-150825.24</v>
      </c>
    </row>
    <row r="129" spans="1:11" x14ac:dyDescent="0.45">
      <c r="A129" t="s">
        <v>22</v>
      </c>
      <c r="B129" t="s">
        <v>12</v>
      </c>
      <c r="C129" t="s">
        <v>13</v>
      </c>
      <c r="D129" t="s">
        <v>24</v>
      </c>
      <c r="E129" t="s">
        <v>15</v>
      </c>
      <c r="F129" s="7">
        <v>45051</v>
      </c>
      <c r="G129">
        <v>287</v>
      </c>
      <c r="H129">
        <v>164.95</v>
      </c>
      <c r="I129">
        <v>32.409999999999997</v>
      </c>
      <c r="J129">
        <v>47340.649999999987</v>
      </c>
      <c r="K129">
        <f t="shared" si="1"/>
        <v>38038.979999999996</v>
      </c>
    </row>
    <row r="130" spans="1:11" x14ac:dyDescent="0.45">
      <c r="A130" t="s">
        <v>17</v>
      </c>
      <c r="B130" t="s">
        <v>31</v>
      </c>
      <c r="C130" t="s">
        <v>19</v>
      </c>
      <c r="D130" t="s">
        <v>14</v>
      </c>
      <c r="E130" t="s">
        <v>28</v>
      </c>
      <c r="F130" s="7">
        <v>45052</v>
      </c>
      <c r="G130">
        <v>205</v>
      </c>
      <c r="H130">
        <v>486.68</v>
      </c>
      <c r="I130">
        <v>113.19</v>
      </c>
      <c r="J130">
        <v>99769.4</v>
      </c>
      <c r="K130">
        <f t="shared" si="1"/>
        <v>76565.45</v>
      </c>
    </row>
    <row r="131" spans="1:11" x14ac:dyDescent="0.45">
      <c r="A131" t="s">
        <v>48</v>
      </c>
      <c r="B131" t="s">
        <v>12</v>
      </c>
      <c r="C131" t="s">
        <v>42</v>
      </c>
      <c r="D131" t="s">
        <v>24</v>
      </c>
      <c r="E131" t="s">
        <v>28</v>
      </c>
      <c r="F131" s="7">
        <v>45053</v>
      </c>
      <c r="G131">
        <v>413</v>
      </c>
      <c r="H131">
        <v>292.16000000000003</v>
      </c>
      <c r="I131">
        <v>372.27</v>
      </c>
      <c r="J131">
        <v>120662.08</v>
      </c>
      <c r="K131">
        <f t="shared" si="1"/>
        <v>-33085.429999999986</v>
      </c>
    </row>
    <row r="132" spans="1:11" x14ac:dyDescent="0.45">
      <c r="A132" t="s">
        <v>22</v>
      </c>
      <c r="B132" t="s">
        <v>26</v>
      </c>
      <c r="C132" t="s">
        <v>42</v>
      </c>
      <c r="D132" t="s">
        <v>24</v>
      </c>
      <c r="E132" t="s">
        <v>15</v>
      </c>
      <c r="F132" s="7">
        <v>45054</v>
      </c>
      <c r="G132">
        <v>361</v>
      </c>
      <c r="H132">
        <v>130.84</v>
      </c>
      <c r="I132">
        <v>102.72</v>
      </c>
      <c r="J132">
        <v>47233.24</v>
      </c>
      <c r="K132">
        <f t="shared" si="1"/>
        <v>10151.320000000002</v>
      </c>
    </row>
    <row r="133" spans="1:11" x14ac:dyDescent="0.45">
      <c r="A133" t="s">
        <v>17</v>
      </c>
      <c r="B133" t="s">
        <v>26</v>
      </c>
      <c r="C133" t="s">
        <v>27</v>
      </c>
      <c r="D133" t="s">
        <v>14</v>
      </c>
      <c r="E133" t="s">
        <v>15</v>
      </c>
      <c r="F133" s="7">
        <v>45055</v>
      </c>
      <c r="G133">
        <v>493</v>
      </c>
      <c r="H133">
        <v>263.26</v>
      </c>
      <c r="I133">
        <v>312.91000000000003</v>
      </c>
      <c r="J133">
        <v>129787.18</v>
      </c>
      <c r="K133">
        <f t="shared" si="1"/>
        <v>-24477.450000000015</v>
      </c>
    </row>
    <row r="134" spans="1:11" x14ac:dyDescent="0.45">
      <c r="A134" t="s">
        <v>17</v>
      </c>
      <c r="B134" t="s">
        <v>31</v>
      </c>
      <c r="C134" t="s">
        <v>19</v>
      </c>
      <c r="D134" t="s">
        <v>24</v>
      </c>
      <c r="E134" t="s">
        <v>15</v>
      </c>
      <c r="F134" s="7">
        <v>45056</v>
      </c>
      <c r="G134">
        <v>251</v>
      </c>
      <c r="H134">
        <v>174.61</v>
      </c>
      <c r="I134">
        <v>330.4</v>
      </c>
      <c r="J134">
        <v>43827.11</v>
      </c>
      <c r="K134">
        <f t="shared" ref="K134:K197" si="2">(H134-I134)*G134</f>
        <v>-39103.289999999994</v>
      </c>
    </row>
    <row r="135" spans="1:11" x14ac:dyDescent="0.45">
      <c r="A135" t="s">
        <v>17</v>
      </c>
      <c r="B135" t="s">
        <v>18</v>
      </c>
      <c r="C135" t="s">
        <v>27</v>
      </c>
      <c r="D135" t="s">
        <v>24</v>
      </c>
      <c r="E135" t="s">
        <v>15</v>
      </c>
      <c r="F135" s="7">
        <v>45057</v>
      </c>
      <c r="G135">
        <v>248.5</v>
      </c>
      <c r="H135">
        <v>268.45999999999998</v>
      </c>
      <c r="I135">
        <v>199.19</v>
      </c>
      <c r="J135">
        <v>66712.31</v>
      </c>
      <c r="K135">
        <f t="shared" si="2"/>
        <v>17213.594999999994</v>
      </c>
    </row>
    <row r="136" spans="1:11" x14ac:dyDescent="0.45">
      <c r="A136" t="s">
        <v>22</v>
      </c>
      <c r="B136" t="s">
        <v>26</v>
      </c>
      <c r="C136" t="s">
        <v>27</v>
      </c>
      <c r="D136" t="s">
        <v>24</v>
      </c>
      <c r="E136" t="s">
        <v>15</v>
      </c>
      <c r="F136" s="7">
        <v>45058</v>
      </c>
      <c r="G136">
        <v>228</v>
      </c>
      <c r="H136">
        <v>67.239999999999995</v>
      </c>
      <c r="I136">
        <v>155.77000000000001</v>
      </c>
      <c r="J136">
        <v>15330.72</v>
      </c>
      <c r="K136">
        <f t="shared" si="2"/>
        <v>-20184.840000000004</v>
      </c>
    </row>
    <row r="137" spans="1:11" x14ac:dyDescent="0.45">
      <c r="A137" t="s">
        <v>22</v>
      </c>
      <c r="B137" t="s">
        <v>50</v>
      </c>
      <c r="C137" t="s">
        <v>27</v>
      </c>
      <c r="D137" t="s">
        <v>14</v>
      </c>
      <c r="E137" t="s">
        <v>15</v>
      </c>
      <c r="F137" s="7">
        <v>45059</v>
      </c>
      <c r="G137">
        <v>201</v>
      </c>
      <c r="H137">
        <v>70.69</v>
      </c>
      <c r="I137">
        <v>181.15</v>
      </c>
      <c r="J137">
        <v>14208.69</v>
      </c>
      <c r="K137">
        <f t="shared" si="2"/>
        <v>-22202.460000000003</v>
      </c>
    </row>
    <row r="138" spans="1:11" x14ac:dyDescent="0.45">
      <c r="A138" t="s">
        <v>22</v>
      </c>
      <c r="B138" t="s">
        <v>26</v>
      </c>
      <c r="C138" t="s">
        <v>23</v>
      </c>
      <c r="D138" t="s">
        <v>14</v>
      </c>
      <c r="E138" t="s">
        <v>15</v>
      </c>
      <c r="F138" s="7">
        <v>45060</v>
      </c>
      <c r="G138">
        <v>26</v>
      </c>
      <c r="H138">
        <v>76.05</v>
      </c>
      <c r="I138">
        <v>92.33</v>
      </c>
      <c r="J138">
        <v>1977.3</v>
      </c>
      <c r="K138">
        <f t="shared" si="2"/>
        <v>-423.28000000000003</v>
      </c>
    </row>
    <row r="139" spans="1:11" x14ac:dyDescent="0.45">
      <c r="A139" t="s">
        <v>11</v>
      </c>
      <c r="B139" t="s">
        <v>26</v>
      </c>
      <c r="C139" t="s">
        <v>23</v>
      </c>
      <c r="D139" t="s">
        <v>14</v>
      </c>
      <c r="E139" t="s">
        <v>20</v>
      </c>
      <c r="F139" s="7">
        <v>45061</v>
      </c>
      <c r="G139">
        <v>21</v>
      </c>
      <c r="H139">
        <v>470.21</v>
      </c>
      <c r="I139">
        <v>355.98</v>
      </c>
      <c r="J139">
        <v>9874.41</v>
      </c>
      <c r="K139">
        <f t="shared" si="2"/>
        <v>2398.829999999999</v>
      </c>
    </row>
    <row r="140" spans="1:11" x14ac:dyDescent="0.45">
      <c r="A140" t="s">
        <v>22</v>
      </c>
      <c r="B140" t="s">
        <v>18</v>
      </c>
      <c r="C140" t="s">
        <v>27</v>
      </c>
      <c r="D140" t="s">
        <v>24</v>
      </c>
      <c r="E140" t="s">
        <v>28</v>
      </c>
      <c r="F140" s="7">
        <v>45062</v>
      </c>
      <c r="G140">
        <v>415</v>
      </c>
      <c r="H140">
        <v>367.78</v>
      </c>
      <c r="I140">
        <v>181.35</v>
      </c>
      <c r="J140">
        <v>152628.70000000001</v>
      </c>
      <c r="K140">
        <f t="shared" si="2"/>
        <v>77368.45</v>
      </c>
    </row>
    <row r="141" spans="1:11" x14ac:dyDescent="0.45">
      <c r="A141" t="s">
        <v>22</v>
      </c>
      <c r="B141" t="s">
        <v>12</v>
      </c>
      <c r="C141" t="s">
        <v>19</v>
      </c>
      <c r="D141" t="s">
        <v>24</v>
      </c>
      <c r="E141" t="s">
        <v>15</v>
      </c>
      <c r="F141" s="7">
        <v>45063</v>
      </c>
      <c r="G141">
        <v>410</v>
      </c>
      <c r="H141">
        <v>85.38</v>
      </c>
      <c r="I141">
        <v>353.22</v>
      </c>
      <c r="J141">
        <v>35005.800000000003</v>
      </c>
      <c r="K141">
        <f t="shared" si="2"/>
        <v>-109814.40000000001</v>
      </c>
    </row>
    <row r="142" spans="1:11" x14ac:dyDescent="0.45">
      <c r="A142" t="s">
        <v>22</v>
      </c>
      <c r="B142" t="s">
        <v>26</v>
      </c>
      <c r="C142" t="s">
        <v>42</v>
      </c>
      <c r="D142" t="s">
        <v>14</v>
      </c>
      <c r="E142" t="s">
        <v>20</v>
      </c>
      <c r="F142" s="7">
        <v>45064</v>
      </c>
      <c r="G142">
        <v>403</v>
      </c>
      <c r="H142">
        <v>98.23</v>
      </c>
      <c r="I142">
        <v>44.07</v>
      </c>
      <c r="J142">
        <v>39586.69</v>
      </c>
      <c r="K142">
        <f t="shared" si="2"/>
        <v>21826.480000000003</v>
      </c>
    </row>
    <row r="143" spans="1:11" x14ac:dyDescent="0.45">
      <c r="A143" t="s">
        <v>11</v>
      </c>
      <c r="B143" t="s">
        <v>31</v>
      </c>
      <c r="C143" t="s">
        <v>19</v>
      </c>
      <c r="D143" t="s">
        <v>24</v>
      </c>
      <c r="E143" t="s">
        <v>20</v>
      </c>
      <c r="F143" s="7">
        <v>45065</v>
      </c>
      <c r="G143">
        <v>383</v>
      </c>
      <c r="H143">
        <v>366.76</v>
      </c>
      <c r="I143">
        <v>395.33</v>
      </c>
      <c r="J143">
        <v>140469.07999999999</v>
      </c>
      <c r="K143">
        <f t="shared" si="2"/>
        <v>-10942.309999999998</v>
      </c>
    </row>
    <row r="144" spans="1:11" x14ac:dyDescent="0.45">
      <c r="A144" t="s">
        <v>22</v>
      </c>
      <c r="B144" t="s">
        <v>12</v>
      </c>
      <c r="C144" t="s">
        <v>13</v>
      </c>
      <c r="D144" t="s">
        <v>24</v>
      </c>
      <c r="E144" t="s">
        <v>20</v>
      </c>
      <c r="F144" s="7">
        <v>45066</v>
      </c>
      <c r="G144">
        <v>202</v>
      </c>
      <c r="H144">
        <v>82.3</v>
      </c>
      <c r="I144">
        <v>178.42</v>
      </c>
      <c r="J144">
        <v>16624.599999999999</v>
      </c>
      <c r="K144">
        <f t="shared" si="2"/>
        <v>-19416.239999999998</v>
      </c>
    </row>
    <row r="145" spans="1:11" x14ac:dyDescent="0.45">
      <c r="A145" t="s">
        <v>17</v>
      </c>
      <c r="B145" t="s">
        <v>50</v>
      </c>
      <c r="C145" t="s">
        <v>23</v>
      </c>
      <c r="D145" t="s">
        <v>24</v>
      </c>
      <c r="E145" t="s">
        <v>28</v>
      </c>
      <c r="F145" s="7">
        <v>45067</v>
      </c>
      <c r="G145">
        <v>31</v>
      </c>
      <c r="H145">
        <v>121.11</v>
      </c>
      <c r="I145">
        <v>21.04</v>
      </c>
      <c r="J145">
        <v>3754.41</v>
      </c>
      <c r="K145">
        <f t="shared" si="2"/>
        <v>3102.1699999999996</v>
      </c>
    </row>
    <row r="146" spans="1:11" x14ac:dyDescent="0.45">
      <c r="A146" t="s">
        <v>22</v>
      </c>
      <c r="B146" t="s">
        <v>18</v>
      </c>
      <c r="C146" t="s">
        <v>42</v>
      </c>
      <c r="D146" t="s">
        <v>24</v>
      </c>
      <c r="E146" t="s">
        <v>15</v>
      </c>
      <c r="F146" s="7">
        <v>45068</v>
      </c>
      <c r="G146">
        <v>483</v>
      </c>
      <c r="H146">
        <v>481.86</v>
      </c>
      <c r="I146">
        <v>17.13</v>
      </c>
      <c r="J146">
        <v>232738.38</v>
      </c>
      <c r="K146">
        <f t="shared" si="2"/>
        <v>224464.59</v>
      </c>
    </row>
    <row r="147" spans="1:11" x14ac:dyDescent="0.45">
      <c r="A147" t="s">
        <v>17</v>
      </c>
      <c r="B147" t="s">
        <v>50</v>
      </c>
      <c r="C147" t="s">
        <v>42</v>
      </c>
      <c r="D147" t="s">
        <v>24</v>
      </c>
      <c r="E147" t="s">
        <v>20</v>
      </c>
      <c r="F147" s="7">
        <v>45069</v>
      </c>
      <c r="G147">
        <v>129</v>
      </c>
      <c r="H147">
        <v>131.38</v>
      </c>
      <c r="I147">
        <v>298.99</v>
      </c>
      <c r="J147">
        <v>16948.02</v>
      </c>
      <c r="K147">
        <f t="shared" si="2"/>
        <v>-21621.690000000002</v>
      </c>
    </row>
    <row r="148" spans="1:11" x14ac:dyDescent="0.45">
      <c r="A148" t="s">
        <v>17</v>
      </c>
      <c r="B148" t="s">
        <v>12</v>
      </c>
      <c r="C148" t="s">
        <v>13</v>
      </c>
      <c r="D148" t="s">
        <v>14</v>
      </c>
      <c r="E148" t="s">
        <v>28</v>
      </c>
      <c r="F148" s="7">
        <v>45070</v>
      </c>
      <c r="G148">
        <v>219</v>
      </c>
      <c r="H148">
        <v>332.51</v>
      </c>
      <c r="I148">
        <v>264.3</v>
      </c>
      <c r="J148">
        <v>72819.69</v>
      </c>
      <c r="K148">
        <f t="shared" si="2"/>
        <v>14937.989999999996</v>
      </c>
    </row>
    <row r="149" spans="1:11" x14ac:dyDescent="0.45">
      <c r="A149" t="s">
        <v>17</v>
      </c>
      <c r="B149" t="s">
        <v>12</v>
      </c>
      <c r="C149" t="s">
        <v>13</v>
      </c>
      <c r="D149" t="s">
        <v>24</v>
      </c>
      <c r="E149" t="s">
        <v>28</v>
      </c>
      <c r="F149" s="7">
        <v>45071</v>
      </c>
      <c r="G149">
        <v>315</v>
      </c>
      <c r="H149">
        <v>489.42</v>
      </c>
      <c r="I149">
        <v>321.25</v>
      </c>
      <c r="J149">
        <v>154167.29999999999</v>
      </c>
      <c r="K149">
        <f t="shared" si="2"/>
        <v>52973.55</v>
      </c>
    </row>
    <row r="150" spans="1:11" x14ac:dyDescent="0.45">
      <c r="A150" t="s">
        <v>11</v>
      </c>
      <c r="B150" t="s">
        <v>12</v>
      </c>
      <c r="C150" t="s">
        <v>27</v>
      </c>
      <c r="D150" t="s">
        <v>14</v>
      </c>
      <c r="E150" t="s">
        <v>28</v>
      </c>
      <c r="F150" s="7">
        <v>45072</v>
      </c>
      <c r="G150">
        <v>279</v>
      </c>
      <c r="H150">
        <v>190.28</v>
      </c>
      <c r="I150">
        <v>43.94</v>
      </c>
      <c r="J150">
        <v>53088.12</v>
      </c>
      <c r="K150">
        <f t="shared" si="2"/>
        <v>40828.86</v>
      </c>
    </row>
    <row r="151" spans="1:11" x14ac:dyDescent="0.45">
      <c r="A151" t="s">
        <v>11</v>
      </c>
      <c r="B151" t="s">
        <v>50</v>
      </c>
      <c r="C151" t="s">
        <v>23</v>
      </c>
      <c r="D151" t="s">
        <v>24</v>
      </c>
      <c r="E151" t="s">
        <v>20</v>
      </c>
      <c r="F151" s="7">
        <v>45073</v>
      </c>
      <c r="G151">
        <v>201</v>
      </c>
      <c r="H151">
        <v>13.67</v>
      </c>
      <c r="I151">
        <v>16.16</v>
      </c>
      <c r="J151">
        <v>2747.67</v>
      </c>
      <c r="K151">
        <f t="shared" si="2"/>
        <v>-500.49000000000007</v>
      </c>
    </row>
    <row r="152" spans="1:11" x14ac:dyDescent="0.45">
      <c r="A152" t="s">
        <v>11</v>
      </c>
      <c r="B152" t="s">
        <v>12</v>
      </c>
      <c r="C152" t="s">
        <v>23</v>
      </c>
      <c r="D152" t="s">
        <v>14</v>
      </c>
      <c r="E152" t="s">
        <v>15</v>
      </c>
      <c r="F152" s="7">
        <v>45074</v>
      </c>
      <c r="G152">
        <v>184</v>
      </c>
      <c r="H152">
        <v>125.85</v>
      </c>
      <c r="I152">
        <v>204.41</v>
      </c>
      <c r="J152">
        <v>23156.400000000001</v>
      </c>
      <c r="K152">
        <f t="shared" si="2"/>
        <v>-14455.04</v>
      </c>
    </row>
    <row r="153" spans="1:11" x14ac:dyDescent="0.45">
      <c r="A153" t="s">
        <v>22</v>
      </c>
      <c r="B153" t="s">
        <v>50</v>
      </c>
      <c r="C153" t="s">
        <v>19</v>
      </c>
      <c r="D153" t="s">
        <v>24</v>
      </c>
      <c r="E153" t="s">
        <v>20</v>
      </c>
      <c r="F153" s="7">
        <v>45075</v>
      </c>
      <c r="G153">
        <v>294</v>
      </c>
      <c r="H153">
        <v>416.28</v>
      </c>
      <c r="I153">
        <v>156.26</v>
      </c>
      <c r="J153">
        <v>122386.32</v>
      </c>
      <c r="K153">
        <f t="shared" si="2"/>
        <v>76445.87999999999</v>
      </c>
    </row>
    <row r="154" spans="1:11" x14ac:dyDescent="0.45">
      <c r="A154" t="s">
        <v>17</v>
      </c>
      <c r="B154" t="s">
        <v>12</v>
      </c>
      <c r="C154" t="s">
        <v>27</v>
      </c>
      <c r="D154" t="s">
        <v>14</v>
      </c>
      <c r="E154" t="s">
        <v>20</v>
      </c>
      <c r="F154" s="7">
        <v>45076</v>
      </c>
      <c r="G154">
        <v>213</v>
      </c>
      <c r="H154">
        <v>432.98</v>
      </c>
      <c r="I154">
        <v>185.85</v>
      </c>
      <c r="J154">
        <v>92224.74</v>
      </c>
      <c r="K154">
        <f t="shared" si="2"/>
        <v>52638.69</v>
      </c>
    </row>
    <row r="155" spans="1:11" x14ac:dyDescent="0.45">
      <c r="A155" t="s">
        <v>11</v>
      </c>
      <c r="B155" t="s">
        <v>31</v>
      </c>
      <c r="C155" t="s">
        <v>27</v>
      </c>
      <c r="D155" t="s">
        <v>24</v>
      </c>
      <c r="E155" t="s">
        <v>15</v>
      </c>
      <c r="F155" s="7">
        <v>45077</v>
      </c>
      <c r="G155">
        <v>173</v>
      </c>
      <c r="H155">
        <v>385.42</v>
      </c>
      <c r="I155">
        <v>396.65</v>
      </c>
      <c r="J155">
        <v>66677.66</v>
      </c>
      <c r="K155">
        <f t="shared" si="2"/>
        <v>-1942.7899999999934</v>
      </c>
    </row>
    <row r="156" spans="1:11" x14ac:dyDescent="0.45">
      <c r="A156" t="s">
        <v>11</v>
      </c>
      <c r="B156" t="s">
        <v>12</v>
      </c>
      <c r="C156" t="s">
        <v>27</v>
      </c>
      <c r="D156" t="s">
        <v>14</v>
      </c>
      <c r="E156" t="s">
        <v>15</v>
      </c>
      <c r="F156" s="7">
        <v>45078</v>
      </c>
      <c r="G156">
        <v>260</v>
      </c>
      <c r="H156">
        <v>60.99</v>
      </c>
      <c r="I156">
        <v>388.36</v>
      </c>
      <c r="J156">
        <v>15857.4</v>
      </c>
      <c r="K156">
        <f t="shared" si="2"/>
        <v>-85116.2</v>
      </c>
    </row>
    <row r="157" spans="1:11" x14ac:dyDescent="0.45">
      <c r="A157" t="s">
        <v>22</v>
      </c>
      <c r="B157" t="s">
        <v>50</v>
      </c>
      <c r="C157" t="s">
        <v>27</v>
      </c>
      <c r="D157" t="s">
        <v>24</v>
      </c>
      <c r="E157" t="s">
        <v>15</v>
      </c>
      <c r="F157" s="7">
        <v>45079</v>
      </c>
      <c r="G157">
        <v>236</v>
      </c>
      <c r="H157">
        <v>398.78</v>
      </c>
      <c r="I157">
        <v>377.04</v>
      </c>
      <c r="J157">
        <v>94112.079999999987</v>
      </c>
      <c r="K157">
        <f t="shared" si="2"/>
        <v>5130.6399999999885</v>
      </c>
    </row>
    <row r="158" spans="1:11" x14ac:dyDescent="0.45">
      <c r="A158" t="s">
        <v>11</v>
      </c>
      <c r="B158" t="s">
        <v>26</v>
      </c>
      <c r="C158" t="s">
        <v>23</v>
      </c>
      <c r="D158" t="s">
        <v>14</v>
      </c>
      <c r="E158" t="s">
        <v>28</v>
      </c>
      <c r="F158" s="7">
        <v>45080</v>
      </c>
      <c r="G158">
        <v>445</v>
      </c>
      <c r="H158">
        <v>459.75</v>
      </c>
      <c r="I158">
        <v>313.97000000000003</v>
      </c>
      <c r="J158">
        <v>204588.75</v>
      </c>
      <c r="K158">
        <f t="shared" si="2"/>
        <v>64872.099999999991</v>
      </c>
    </row>
    <row r="159" spans="1:11" x14ac:dyDescent="0.45">
      <c r="A159" t="s">
        <v>22</v>
      </c>
      <c r="B159" t="s">
        <v>12</v>
      </c>
      <c r="C159" t="s">
        <v>23</v>
      </c>
      <c r="D159" t="s">
        <v>24</v>
      </c>
      <c r="E159" t="s">
        <v>15</v>
      </c>
      <c r="F159" s="7">
        <v>45081</v>
      </c>
      <c r="G159">
        <v>390</v>
      </c>
      <c r="H159">
        <v>302.3</v>
      </c>
      <c r="I159">
        <v>143.22999999999999</v>
      </c>
      <c r="J159">
        <v>117897</v>
      </c>
      <c r="K159">
        <f t="shared" si="2"/>
        <v>62037.30000000001</v>
      </c>
    </row>
    <row r="160" spans="1:11" x14ac:dyDescent="0.45">
      <c r="A160" t="s">
        <v>48</v>
      </c>
      <c r="B160" t="s">
        <v>26</v>
      </c>
      <c r="C160" t="s">
        <v>27</v>
      </c>
      <c r="D160" t="s">
        <v>14</v>
      </c>
      <c r="E160" t="s">
        <v>20</v>
      </c>
      <c r="F160" s="7">
        <v>45082</v>
      </c>
      <c r="G160">
        <v>469</v>
      </c>
      <c r="H160">
        <v>470.73</v>
      </c>
      <c r="I160">
        <v>166.03</v>
      </c>
      <c r="J160">
        <v>220772.37</v>
      </c>
      <c r="K160">
        <f t="shared" si="2"/>
        <v>142904.30000000002</v>
      </c>
    </row>
    <row r="161" spans="1:11" x14ac:dyDescent="0.45">
      <c r="A161" t="s">
        <v>11</v>
      </c>
      <c r="B161" t="s">
        <v>31</v>
      </c>
      <c r="C161" t="s">
        <v>19</v>
      </c>
      <c r="D161" t="s">
        <v>14</v>
      </c>
      <c r="E161" t="s">
        <v>15</v>
      </c>
      <c r="F161" s="7">
        <v>45083</v>
      </c>
      <c r="G161">
        <v>16</v>
      </c>
      <c r="H161">
        <v>255.39500000000001</v>
      </c>
      <c r="I161">
        <v>220.75</v>
      </c>
      <c r="J161">
        <v>4086.32</v>
      </c>
      <c r="K161">
        <f t="shared" si="2"/>
        <v>554.32000000000016</v>
      </c>
    </row>
    <row r="162" spans="1:11" x14ac:dyDescent="0.45">
      <c r="A162" t="s">
        <v>48</v>
      </c>
      <c r="B162" t="s">
        <v>18</v>
      </c>
      <c r="C162" t="s">
        <v>42</v>
      </c>
      <c r="D162" t="s">
        <v>24</v>
      </c>
      <c r="E162" t="s">
        <v>20</v>
      </c>
      <c r="F162" s="7">
        <v>45084</v>
      </c>
      <c r="G162">
        <v>38</v>
      </c>
      <c r="H162">
        <v>335.15</v>
      </c>
      <c r="I162">
        <v>332.55</v>
      </c>
      <c r="J162">
        <v>12735.7</v>
      </c>
      <c r="K162">
        <f t="shared" si="2"/>
        <v>98.799999999998704</v>
      </c>
    </row>
    <row r="163" spans="1:11" x14ac:dyDescent="0.45">
      <c r="A163" t="s">
        <v>22</v>
      </c>
      <c r="B163" t="s">
        <v>31</v>
      </c>
      <c r="C163" t="s">
        <v>13</v>
      </c>
      <c r="D163" t="s">
        <v>24</v>
      </c>
      <c r="E163" t="s">
        <v>28</v>
      </c>
      <c r="F163" s="7">
        <v>45085</v>
      </c>
      <c r="G163">
        <v>404</v>
      </c>
      <c r="H163">
        <v>290.70999999999998</v>
      </c>
      <c r="I163">
        <v>29.35</v>
      </c>
      <c r="J163">
        <v>117446.84</v>
      </c>
      <c r="K163">
        <f t="shared" si="2"/>
        <v>105589.43999999999</v>
      </c>
    </row>
    <row r="164" spans="1:11" x14ac:dyDescent="0.45">
      <c r="A164" t="s">
        <v>17</v>
      </c>
      <c r="B164" t="s">
        <v>12</v>
      </c>
      <c r="C164" t="s">
        <v>19</v>
      </c>
      <c r="D164" t="s">
        <v>14</v>
      </c>
      <c r="E164" t="s">
        <v>20</v>
      </c>
      <c r="F164" s="7">
        <v>45086</v>
      </c>
      <c r="G164">
        <v>42</v>
      </c>
      <c r="H164">
        <v>177.54</v>
      </c>
      <c r="I164">
        <v>170.87</v>
      </c>
      <c r="J164">
        <v>7456.6799999999994</v>
      </c>
      <c r="K164">
        <f t="shared" si="2"/>
        <v>280.13999999999947</v>
      </c>
    </row>
    <row r="165" spans="1:11" x14ac:dyDescent="0.45">
      <c r="A165" t="s">
        <v>11</v>
      </c>
      <c r="B165" t="s">
        <v>26</v>
      </c>
      <c r="C165" t="s">
        <v>27</v>
      </c>
      <c r="D165" t="s">
        <v>24</v>
      </c>
      <c r="E165" t="s">
        <v>20</v>
      </c>
      <c r="F165" s="7">
        <v>45087</v>
      </c>
      <c r="G165">
        <v>143</v>
      </c>
      <c r="H165">
        <v>83.85</v>
      </c>
      <c r="I165">
        <v>34.880000000000003</v>
      </c>
      <c r="J165">
        <v>11990.55</v>
      </c>
      <c r="K165">
        <f t="shared" si="2"/>
        <v>7002.7099999999991</v>
      </c>
    </row>
    <row r="166" spans="1:11" x14ac:dyDescent="0.45">
      <c r="A166" t="s">
        <v>22</v>
      </c>
      <c r="B166" t="s">
        <v>26</v>
      </c>
      <c r="C166" t="s">
        <v>23</v>
      </c>
      <c r="D166" t="s">
        <v>14</v>
      </c>
      <c r="E166" t="s">
        <v>15</v>
      </c>
      <c r="F166" s="7">
        <v>45088</v>
      </c>
      <c r="G166">
        <v>376</v>
      </c>
      <c r="H166">
        <v>304.45</v>
      </c>
      <c r="I166">
        <v>206.83</v>
      </c>
      <c r="J166">
        <v>114473.2</v>
      </c>
      <c r="K166">
        <f t="shared" si="2"/>
        <v>36705.119999999988</v>
      </c>
    </row>
    <row r="167" spans="1:11" x14ac:dyDescent="0.45">
      <c r="A167" t="s">
        <v>17</v>
      </c>
      <c r="B167" t="s">
        <v>50</v>
      </c>
      <c r="C167" t="s">
        <v>42</v>
      </c>
      <c r="D167" t="s">
        <v>14</v>
      </c>
      <c r="E167" t="s">
        <v>15</v>
      </c>
      <c r="F167" s="7">
        <v>45089</v>
      </c>
      <c r="G167">
        <v>88</v>
      </c>
      <c r="H167">
        <v>162.47</v>
      </c>
      <c r="I167">
        <v>359.76</v>
      </c>
      <c r="J167">
        <v>14297.36</v>
      </c>
      <c r="K167">
        <f t="shared" si="2"/>
        <v>-17361.52</v>
      </c>
    </row>
    <row r="168" spans="1:11" x14ac:dyDescent="0.45">
      <c r="A168" t="s">
        <v>17</v>
      </c>
      <c r="B168" t="s">
        <v>26</v>
      </c>
      <c r="C168" t="s">
        <v>13</v>
      </c>
      <c r="D168" t="s">
        <v>14</v>
      </c>
      <c r="E168" t="s">
        <v>20</v>
      </c>
      <c r="F168" s="7">
        <v>45090</v>
      </c>
      <c r="G168">
        <v>425</v>
      </c>
      <c r="H168">
        <v>433.89</v>
      </c>
      <c r="I168">
        <v>313.43</v>
      </c>
      <c r="J168">
        <v>184403.25</v>
      </c>
      <c r="K168">
        <f t="shared" si="2"/>
        <v>51195.499999999993</v>
      </c>
    </row>
    <row r="169" spans="1:11" x14ac:dyDescent="0.45">
      <c r="A169" t="s">
        <v>48</v>
      </c>
      <c r="B169" t="s">
        <v>50</v>
      </c>
      <c r="C169" t="s">
        <v>13</v>
      </c>
      <c r="D169" t="s">
        <v>24</v>
      </c>
      <c r="E169" t="s">
        <v>15</v>
      </c>
      <c r="F169" s="7">
        <v>45091</v>
      </c>
      <c r="G169">
        <v>444</v>
      </c>
      <c r="H169">
        <v>496.7</v>
      </c>
      <c r="I169">
        <v>92.68</v>
      </c>
      <c r="J169">
        <v>220534.8</v>
      </c>
      <c r="K169">
        <f t="shared" si="2"/>
        <v>179384.88</v>
      </c>
    </row>
    <row r="170" spans="1:11" x14ac:dyDescent="0.45">
      <c r="A170" t="s">
        <v>22</v>
      </c>
      <c r="B170" t="s">
        <v>18</v>
      </c>
      <c r="C170" t="s">
        <v>19</v>
      </c>
      <c r="D170" t="s">
        <v>14</v>
      </c>
      <c r="E170" t="s">
        <v>28</v>
      </c>
      <c r="F170" s="7">
        <v>45092</v>
      </c>
      <c r="G170">
        <v>468</v>
      </c>
      <c r="H170">
        <v>377.45</v>
      </c>
      <c r="I170">
        <v>390.44</v>
      </c>
      <c r="J170">
        <v>176646.6</v>
      </c>
      <c r="K170">
        <f t="shared" si="2"/>
        <v>-6079.3200000000043</v>
      </c>
    </row>
    <row r="171" spans="1:11" x14ac:dyDescent="0.45">
      <c r="A171" t="s">
        <v>17</v>
      </c>
      <c r="B171" t="s">
        <v>12</v>
      </c>
      <c r="C171" t="s">
        <v>27</v>
      </c>
      <c r="D171" t="s">
        <v>14</v>
      </c>
      <c r="E171" t="s">
        <v>28</v>
      </c>
      <c r="F171" s="7">
        <v>45093</v>
      </c>
      <c r="G171">
        <v>67</v>
      </c>
      <c r="H171">
        <v>49.79</v>
      </c>
      <c r="I171">
        <v>267.61</v>
      </c>
      <c r="J171">
        <v>3335.93</v>
      </c>
      <c r="K171">
        <f t="shared" si="2"/>
        <v>-14593.940000000002</v>
      </c>
    </row>
    <row r="172" spans="1:11" x14ac:dyDescent="0.45">
      <c r="A172" t="s">
        <v>11</v>
      </c>
      <c r="B172" t="s">
        <v>50</v>
      </c>
      <c r="C172" t="s">
        <v>42</v>
      </c>
      <c r="D172" t="s">
        <v>24</v>
      </c>
      <c r="E172" t="s">
        <v>15</v>
      </c>
      <c r="F172" s="7">
        <v>45094</v>
      </c>
      <c r="G172">
        <v>480</v>
      </c>
      <c r="H172">
        <v>147.9</v>
      </c>
      <c r="I172">
        <v>6.15</v>
      </c>
      <c r="J172">
        <v>70992</v>
      </c>
      <c r="K172">
        <f t="shared" si="2"/>
        <v>68040</v>
      </c>
    </row>
    <row r="173" spans="1:11" x14ac:dyDescent="0.45">
      <c r="A173" t="s">
        <v>11</v>
      </c>
      <c r="B173" t="s">
        <v>18</v>
      </c>
      <c r="C173" t="s">
        <v>27</v>
      </c>
      <c r="D173" t="s">
        <v>24</v>
      </c>
      <c r="E173" t="s">
        <v>28</v>
      </c>
      <c r="F173" s="7">
        <v>45095</v>
      </c>
      <c r="G173">
        <v>35</v>
      </c>
      <c r="H173">
        <v>59.01</v>
      </c>
      <c r="I173">
        <v>103.65</v>
      </c>
      <c r="J173">
        <v>2065.35</v>
      </c>
      <c r="K173">
        <f t="shared" si="2"/>
        <v>-1562.4000000000003</v>
      </c>
    </row>
    <row r="174" spans="1:11" x14ac:dyDescent="0.45">
      <c r="A174" t="s">
        <v>48</v>
      </c>
      <c r="B174" t="s">
        <v>26</v>
      </c>
      <c r="C174" t="s">
        <v>42</v>
      </c>
      <c r="D174" t="s">
        <v>24</v>
      </c>
      <c r="E174" t="s">
        <v>15</v>
      </c>
      <c r="F174" s="7">
        <v>45096</v>
      </c>
      <c r="G174">
        <v>491</v>
      </c>
      <c r="H174">
        <v>327</v>
      </c>
      <c r="I174">
        <v>105.76</v>
      </c>
      <c r="J174">
        <v>160557</v>
      </c>
      <c r="K174">
        <f t="shared" si="2"/>
        <v>108628.84000000001</v>
      </c>
    </row>
    <row r="175" spans="1:11" x14ac:dyDescent="0.45">
      <c r="A175" t="s">
        <v>17</v>
      </c>
      <c r="B175" t="s">
        <v>26</v>
      </c>
      <c r="C175" t="s">
        <v>19</v>
      </c>
      <c r="D175" t="s">
        <v>24</v>
      </c>
      <c r="E175" t="s">
        <v>20</v>
      </c>
      <c r="F175" s="7">
        <v>45097</v>
      </c>
      <c r="G175">
        <v>439</v>
      </c>
      <c r="H175">
        <v>383.77</v>
      </c>
      <c r="I175">
        <v>29.56</v>
      </c>
      <c r="J175">
        <v>168475.03</v>
      </c>
      <c r="K175">
        <f t="shared" si="2"/>
        <v>155498.19</v>
      </c>
    </row>
    <row r="176" spans="1:11" x14ac:dyDescent="0.45">
      <c r="A176" t="s">
        <v>22</v>
      </c>
      <c r="B176" t="s">
        <v>18</v>
      </c>
      <c r="C176" t="s">
        <v>19</v>
      </c>
      <c r="D176" t="s">
        <v>14</v>
      </c>
      <c r="E176" t="s">
        <v>20</v>
      </c>
      <c r="F176" s="7">
        <v>45098</v>
      </c>
      <c r="G176">
        <v>235</v>
      </c>
      <c r="H176">
        <v>463.21</v>
      </c>
      <c r="I176">
        <v>384.01</v>
      </c>
      <c r="J176">
        <v>108854.35</v>
      </c>
      <c r="K176">
        <f t="shared" si="2"/>
        <v>18611.999999999996</v>
      </c>
    </row>
    <row r="177" spans="1:11" x14ac:dyDescent="0.45">
      <c r="A177" t="s">
        <v>11</v>
      </c>
      <c r="B177" t="s">
        <v>26</v>
      </c>
      <c r="C177" t="s">
        <v>13</v>
      </c>
      <c r="D177" t="s">
        <v>14</v>
      </c>
      <c r="E177" t="s">
        <v>28</v>
      </c>
      <c r="F177" s="7">
        <v>45099</v>
      </c>
      <c r="G177">
        <v>294</v>
      </c>
      <c r="H177">
        <v>221.9</v>
      </c>
      <c r="I177">
        <v>192.35</v>
      </c>
      <c r="J177">
        <v>65238.6</v>
      </c>
      <c r="K177">
        <f t="shared" si="2"/>
        <v>8687.7000000000025</v>
      </c>
    </row>
    <row r="178" spans="1:11" x14ac:dyDescent="0.45">
      <c r="A178" t="s">
        <v>17</v>
      </c>
      <c r="B178" t="s">
        <v>18</v>
      </c>
      <c r="C178" t="s">
        <v>27</v>
      </c>
      <c r="D178" t="s">
        <v>14</v>
      </c>
      <c r="E178" t="s">
        <v>15</v>
      </c>
      <c r="F178" s="7">
        <v>45100</v>
      </c>
      <c r="G178">
        <v>13</v>
      </c>
      <c r="H178">
        <v>451.18</v>
      </c>
      <c r="I178">
        <v>358.53</v>
      </c>
      <c r="J178">
        <v>5865.34</v>
      </c>
      <c r="K178">
        <f t="shared" si="2"/>
        <v>1204.4500000000005</v>
      </c>
    </row>
    <row r="179" spans="1:11" x14ac:dyDescent="0.45">
      <c r="A179" t="s">
        <v>17</v>
      </c>
      <c r="B179" t="s">
        <v>50</v>
      </c>
      <c r="C179" t="s">
        <v>13</v>
      </c>
      <c r="D179" t="s">
        <v>14</v>
      </c>
      <c r="E179" t="s">
        <v>15</v>
      </c>
      <c r="F179" s="7">
        <v>45101</v>
      </c>
      <c r="G179">
        <v>474</v>
      </c>
      <c r="H179">
        <v>439.56</v>
      </c>
      <c r="I179">
        <v>130.24</v>
      </c>
      <c r="J179">
        <v>208351.44</v>
      </c>
      <c r="K179">
        <f t="shared" si="2"/>
        <v>146617.68</v>
      </c>
    </row>
    <row r="180" spans="1:11" x14ac:dyDescent="0.45">
      <c r="A180" t="s">
        <v>48</v>
      </c>
      <c r="B180" t="s">
        <v>50</v>
      </c>
      <c r="C180" t="s">
        <v>27</v>
      </c>
      <c r="D180" t="s">
        <v>24</v>
      </c>
      <c r="E180" t="s">
        <v>28</v>
      </c>
      <c r="F180" s="7">
        <v>45102</v>
      </c>
      <c r="G180">
        <v>108</v>
      </c>
      <c r="H180">
        <v>162.01</v>
      </c>
      <c r="I180">
        <v>51.84</v>
      </c>
      <c r="J180">
        <v>17497.080000000002</v>
      </c>
      <c r="K180">
        <f t="shared" si="2"/>
        <v>11898.359999999999</v>
      </c>
    </row>
    <row r="181" spans="1:11" x14ac:dyDescent="0.45">
      <c r="A181" t="s">
        <v>11</v>
      </c>
      <c r="B181" t="s">
        <v>18</v>
      </c>
      <c r="C181" t="s">
        <v>13</v>
      </c>
      <c r="D181" t="s">
        <v>14</v>
      </c>
      <c r="E181" t="s">
        <v>20</v>
      </c>
      <c r="F181" s="7">
        <v>45103</v>
      </c>
      <c r="G181">
        <v>406</v>
      </c>
      <c r="H181">
        <v>435.11</v>
      </c>
      <c r="I181">
        <v>190.79</v>
      </c>
      <c r="J181">
        <v>176654.66</v>
      </c>
      <c r="K181">
        <f t="shared" si="2"/>
        <v>99193.920000000013</v>
      </c>
    </row>
    <row r="182" spans="1:11" x14ac:dyDescent="0.45">
      <c r="A182" t="s">
        <v>11</v>
      </c>
      <c r="B182" t="s">
        <v>50</v>
      </c>
      <c r="C182" t="s">
        <v>23</v>
      </c>
      <c r="D182" t="s">
        <v>14</v>
      </c>
      <c r="E182" t="s">
        <v>28</v>
      </c>
      <c r="F182" s="7">
        <v>45104</v>
      </c>
      <c r="G182">
        <v>498</v>
      </c>
      <c r="H182">
        <v>190.96</v>
      </c>
      <c r="I182">
        <v>47.35</v>
      </c>
      <c r="J182">
        <v>95098.08</v>
      </c>
      <c r="K182">
        <f t="shared" si="2"/>
        <v>71517.780000000013</v>
      </c>
    </row>
    <row r="183" spans="1:11" x14ac:dyDescent="0.45">
      <c r="A183" t="s">
        <v>22</v>
      </c>
      <c r="B183" t="s">
        <v>50</v>
      </c>
      <c r="C183" t="s">
        <v>23</v>
      </c>
      <c r="D183" t="s">
        <v>24</v>
      </c>
      <c r="E183" t="s">
        <v>20</v>
      </c>
      <c r="F183" s="7">
        <v>45105</v>
      </c>
      <c r="G183">
        <v>48</v>
      </c>
      <c r="H183">
        <v>151.94999999999999</v>
      </c>
      <c r="I183">
        <v>195.43</v>
      </c>
      <c r="J183">
        <v>7293.5999999999995</v>
      </c>
      <c r="K183">
        <f t="shared" si="2"/>
        <v>-2087.0400000000009</v>
      </c>
    </row>
    <row r="184" spans="1:11" x14ac:dyDescent="0.45">
      <c r="A184" t="s">
        <v>11</v>
      </c>
      <c r="B184" t="s">
        <v>50</v>
      </c>
      <c r="C184" t="s">
        <v>23</v>
      </c>
      <c r="D184" t="s">
        <v>14</v>
      </c>
      <c r="E184" t="s">
        <v>15</v>
      </c>
      <c r="F184" s="7">
        <v>45106</v>
      </c>
      <c r="G184">
        <v>280</v>
      </c>
      <c r="H184">
        <v>326.29000000000002</v>
      </c>
      <c r="I184">
        <v>368.28</v>
      </c>
      <c r="J184">
        <v>91361.200000000012</v>
      </c>
      <c r="K184">
        <f t="shared" si="2"/>
        <v>-11757.199999999986</v>
      </c>
    </row>
    <row r="185" spans="1:11" x14ac:dyDescent="0.45">
      <c r="A185" t="s">
        <v>22</v>
      </c>
      <c r="B185" t="s">
        <v>31</v>
      </c>
      <c r="C185" t="s">
        <v>23</v>
      </c>
      <c r="D185" t="s">
        <v>14</v>
      </c>
      <c r="E185" t="s">
        <v>20</v>
      </c>
      <c r="F185" s="7">
        <v>45107</v>
      </c>
      <c r="G185">
        <v>384</v>
      </c>
      <c r="H185">
        <v>167.55</v>
      </c>
      <c r="I185">
        <v>209.27</v>
      </c>
      <c r="J185">
        <v>64339.199999999997</v>
      </c>
      <c r="K185">
        <f t="shared" si="2"/>
        <v>-16020.48</v>
      </c>
    </row>
    <row r="186" spans="1:11" x14ac:dyDescent="0.45">
      <c r="A186" t="s">
        <v>11</v>
      </c>
      <c r="B186" t="s">
        <v>12</v>
      </c>
      <c r="C186" t="s">
        <v>42</v>
      </c>
      <c r="D186" t="s">
        <v>14</v>
      </c>
      <c r="E186" t="s">
        <v>28</v>
      </c>
      <c r="F186" s="7">
        <v>45108</v>
      </c>
      <c r="G186">
        <v>294</v>
      </c>
      <c r="H186">
        <v>316.95</v>
      </c>
      <c r="I186">
        <v>247.37</v>
      </c>
      <c r="J186">
        <v>93183.3</v>
      </c>
      <c r="K186">
        <f t="shared" si="2"/>
        <v>20456.519999999997</v>
      </c>
    </row>
    <row r="187" spans="1:11" x14ac:dyDescent="0.45">
      <c r="A187" t="s">
        <v>48</v>
      </c>
      <c r="B187" t="s">
        <v>26</v>
      </c>
      <c r="C187" t="s">
        <v>23</v>
      </c>
      <c r="D187" t="s">
        <v>14</v>
      </c>
      <c r="E187" t="s">
        <v>15</v>
      </c>
      <c r="F187" s="7">
        <v>45109</v>
      </c>
      <c r="G187">
        <v>166</v>
      </c>
      <c r="H187">
        <v>306.87</v>
      </c>
      <c r="I187">
        <v>64.34</v>
      </c>
      <c r="J187">
        <v>50940.42</v>
      </c>
      <c r="K187">
        <f t="shared" si="2"/>
        <v>40259.980000000003</v>
      </c>
    </row>
    <row r="188" spans="1:11" x14ac:dyDescent="0.45">
      <c r="A188" t="s">
        <v>11</v>
      </c>
      <c r="B188" t="s">
        <v>31</v>
      </c>
      <c r="C188" t="s">
        <v>19</v>
      </c>
      <c r="D188" t="s">
        <v>14</v>
      </c>
      <c r="E188" t="s">
        <v>28</v>
      </c>
      <c r="F188" s="7">
        <v>45110</v>
      </c>
      <c r="G188">
        <v>84</v>
      </c>
      <c r="H188">
        <v>283.89999999999998</v>
      </c>
      <c r="I188">
        <v>19.41</v>
      </c>
      <c r="J188">
        <v>23847.599999999999</v>
      </c>
      <c r="K188">
        <f t="shared" si="2"/>
        <v>22217.159999999996</v>
      </c>
    </row>
    <row r="189" spans="1:11" x14ac:dyDescent="0.45">
      <c r="A189" t="s">
        <v>22</v>
      </c>
      <c r="B189" t="s">
        <v>50</v>
      </c>
      <c r="C189" t="s">
        <v>19</v>
      </c>
      <c r="D189" t="s">
        <v>14</v>
      </c>
      <c r="E189" t="s">
        <v>28</v>
      </c>
      <c r="F189" s="7">
        <v>45111</v>
      </c>
      <c r="G189">
        <v>381</v>
      </c>
      <c r="H189">
        <v>193.31</v>
      </c>
      <c r="I189">
        <v>46.1</v>
      </c>
      <c r="J189">
        <v>73651.11</v>
      </c>
      <c r="K189">
        <f t="shared" si="2"/>
        <v>56087.01</v>
      </c>
    </row>
    <row r="190" spans="1:11" x14ac:dyDescent="0.45">
      <c r="A190" t="s">
        <v>22</v>
      </c>
      <c r="B190" t="s">
        <v>18</v>
      </c>
      <c r="C190" t="s">
        <v>42</v>
      </c>
      <c r="D190" t="s">
        <v>24</v>
      </c>
      <c r="E190" t="s">
        <v>20</v>
      </c>
      <c r="F190" s="7">
        <v>45112</v>
      </c>
      <c r="G190">
        <v>297</v>
      </c>
      <c r="H190">
        <v>276.51</v>
      </c>
      <c r="I190">
        <v>240.22</v>
      </c>
      <c r="J190">
        <v>82123.47</v>
      </c>
      <c r="K190">
        <f t="shared" si="2"/>
        <v>10778.129999999997</v>
      </c>
    </row>
    <row r="191" spans="1:11" x14ac:dyDescent="0.45">
      <c r="A191" t="s">
        <v>48</v>
      </c>
      <c r="B191" t="s">
        <v>50</v>
      </c>
      <c r="C191" t="s">
        <v>23</v>
      </c>
      <c r="D191" t="s">
        <v>24</v>
      </c>
      <c r="E191" t="s">
        <v>28</v>
      </c>
      <c r="F191" s="7">
        <v>45113</v>
      </c>
      <c r="G191">
        <v>139</v>
      </c>
      <c r="H191">
        <v>300.26</v>
      </c>
      <c r="I191">
        <v>39.81</v>
      </c>
      <c r="J191">
        <v>41736.14</v>
      </c>
      <c r="K191">
        <f t="shared" si="2"/>
        <v>36202.549999999996</v>
      </c>
    </row>
    <row r="192" spans="1:11" x14ac:dyDescent="0.45">
      <c r="A192" t="s">
        <v>11</v>
      </c>
      <c r="B192" t="s">
        <v>12</v>
      </c>
      <c r="C192" t="s">
        <v>23</v>
      </c>
      <c r="D192" t="s">
        <v>14</v>
      </c>
      <c r="E192" t="s">
        <v>20</v>
      </c>
      <c r="F192" s="7">
        <v>45114</v>
      </c>
      <c r="G192">
        <v>184</v>
      </c>
      <c r="H192">
        <v>275.12</v>
      </c>
      <c r="I192">
        <v>151.65</v>
      </c>
      <c r="J192">
        <v>50622.080000000002</v>
      </c>
      <c r="K192">
        <f t="shared" si="2"/>
        <v>22718.48</v>
      </c>
    </row>
    <row r="193" spans="1:11" x14ac:dyDescent="0.45">
      <c r="A193" t="s">
        <v>11</v>
      </c>
      <c r="B193" t="s">
        <v>50</v>
      </c>
      <c r="C193" t="s">
        <v>23</v>
      </c>
      <c r="D193" t="s">
        <v>14</v>
      </c>
      <c r="E193" t="s">
        <v>15</v>
      </c>
      <c r="F193" s="7">
        <v>45115</v>
      </c>
      <c r="G193">
        <v>471</v>
      </c>
      <c r="H193">
        <v>224.99</v>
      </c>
      <c r="I193">
        <v>220.94</v>
      </c>
      <c r="J193">
        <v>105970.29</v>
      </c>
      <c r="K193">
        <f t="shared" si="2"/>
        <v>1907.5500000000054</v>
      </c>
    </row>
    <row r="194" spans="1:11" x14ac:dyDescent="0.45">
      <c r="A194" t="s">
        <v>48</v>
      </c>
      <c r="B194" t="s">
        <v>18</v>
      </c>
      <c r="C194" t="s">
        <v>13</v>
      </c>
      <c r="D194" t="s">
        <v>24</v>
      </c>
      <c r="E194" t="s">
        <v>20</v>
      </c>
      <c r="F194" s="7">
        <v>45116</v>
      </c>
      <c r="G194">
        <v>93</v>
      </c>
      <c r="H194">
        <v>12.26</v>
      </c>
      <c r="I194">
        <v>156.68</v>
      </c>
      <c r="J194">
        <v>1140.18</v>
      </c>
      <c r="K194">
        <f t="shared" si="2"/>
        <v>-13431.060000000001</v>
      </c>
    </row>
    <row r="195" spans="1:11" x14ac:dyDescent="0.45">
      <c r="A195" t="s">
        <v>11</v>
      </c>
      <c r="B195" t="s">
        <v>12</v>
      </c>
      <c r="C195" t="s">
        <v>27</v>
      </c>
      <c r="D195" t="s">
        <v>14</v>
      </c>
      <c r="E195" t="s">
        <v>15</v>
      </c>
      <c r="F195" s="7">
        <v>45117</v>
      </c>
      <c r="G195">
        <v>31</v>
      </c>
      <c r="H195">
        <v>295.60000000000002</v>
      </c>
      <c r="I195">
        <v>67.150000000000006</v>
      </c>
      <c r="J195">
        <v>9163.6</v>
      </c>
      <c r="K195">
        <f t="shared" si="2"/>
        <v>7081.9500000000007</v>
      </c>
    </row>
    <row r="196" spans="1:11" x14ac:dyDescent="0.45">
      <c r="A196" t="s">
        <v>11</v>
      </c>
      <c r="B196" t="s">
        <v>50</v>
      </c>
      <c r="C196" t="s">
        <v>13</v>
      </c>
      <c r="D196" t="s">
        <v>14</v>
      </c>
      <c r="E196" t="s">
        <v>20</v>
      </c>
      <c r="F196" s="7">
        <v>45118</v>
      </c>
      <c r="G196">
        <v>468</v>
      </c>
      <c r="H196">
        <v>88.38</v>
      </c>
      <c r="I196">
        <v>110.97</v>
      </c>
      <c r="J196">
        <v>41361.839999999997</v>
      </c>
      <c r="K196">
        <f t="shared" si="2"/>
        <v>-10572.12</v>
      </c>
    </row>
    <row r="197" spans="1:11" x14ac:dyDescent="0.45">
      <c r="A197" t="s">
        <v>22</v>
      </c>
      <c r="B197" t="s">
        <v>12</v>
      </c>
      <c r="C197" t="s">
        <v>27</v>
      </c>
      <c r="D197" t="s">
        <v>14</v>
      </c>
      <c r="E197" t="s">
        <v>28</v>
      </c>
      <c r="F197" s="7">
        <v>45119</v>
      </c>
      <c r="G197">
        <v>36</v>
      </c>
      <c r="H197">
        <v>323.08</v>
      </c>
      <c r="I197">
        <v>371.47</v>
      </c>
      <c r="J197">
        <v>11630.88</v>
      </c>
      <c r="K197">
        <f t="shared" si="2"/>
        <v>-1742.0400000000016</v>
      </c>
    </row>
    <row r="198" spans="1:11" x14ac:dyDescent="0.45">
      <c r="A198" t="s">
        <v>11</v>
      </c>
      <c r="B198" t="s">
        <v>26</v>
      </c>
      <c r="C198" t="s">
        <v>23</v>
      </c>
      <c r="D198" t="s">
        <v>24</v>
      </c>
      <c r="E198" t="s">
        <v>20</v>
      </c>
      <c r="F198" s="7">
        <v>45120</v>
      </c>
      <c r="G198">
        <v>204</v>
      </c>
      <c r="H198">
        <v>380.88</v>
      </c>
      <c r="I198">
        <v>271.04000000000002</v>
      </c>
      <c r="J198">
        <v>77699.520000000004</v>
      </c>
      <c r="K198">
        <f t="shared" ref="K198:K261" si="3">(H198-I198)*G198</f>
        <v>22407.359999999993</v>
      </c>
    </row>
    <row r="199" spans="1:11" x14ac:dyDescent="0.45">
      <c r="A199" t="s">
        <v>11</v>
      </c>
      <c r="B199" t="s">
        <v>26</v>
      </c>
      <c r="C199" t="s">
        <v>23</v>
      </c>
      <c r="D199" t="s">
        <v>14</v>
      </c>
      <c r="E199" t="s">
        <v>20</v>
      </c>
      <c r="F199" s="7">
        <v>45121</v>
      </c>
      <c r="G199">
        <v>346</v>
      </c>
      <c r="H199">
        <v>252.72</v>
      </c>
      <c r="I199">
        <v>199.43</v>
      </c>
      <c r="J199">
        <v>87441.12</v>
      </c>
      <c r="K199">
        <f t="shared" si="3"/>
        <v>18438.339999999997</v>
      </c>
    </row>
    <row r="200" spans="1:11" x14ac:dyDescent="0.45">
      <c r="A200" t="s">
        <v>48</v>
      </c>
      <c r="B200" t="s">
        <v>50</v>
      </c>
      <c r="C200" t="s">
        <v>13</v>
      </c>
      <c r="D200" t="s">
        <v>24</v>
      </c>
      <c r="E200" t="s">
        <v>15</v>
      </c>
      <c r="F200" s="7">
        <v>45122</v>
      </c>
      <c r="G200">
        <v>391</v>
      </c>
      <c r="H200">
        <v>273.47000000000003</v>
      </c>
      <c r="I200">
        <v>7.06</v>
      </c>
      <c r="J200">
        <v>106926.77</v>
      </c>
      <c r="K200">
        <f t="shared" si="3"/>
        <v>104166.31000000001</v>
      </c>
    </row>
    <row r="201" spans="1:11" x14ac:dyDescent="0.45">
      <c r="A201" t="s">
        <v>48</v>
      </c>
      <c r="B201" t="s">
        <v>12</v>
      </c>
      <c r="C201" t="s">
        <v>13</v>
      </c>
      <c r="D201" t="s">
        <v>14</v>
      </c>
      <c r="E201" t="s">
        <v>28</v>
      </c>
      <c r="F201" s="7">
        <v>45123</v>
      </c>
      <c r="G201">
        <v>245</v>
      </c>
      <c r="H201">
        <v>475.98</v>
      </c>
      <c r="I201">
        <v>396.98</v>
      </c>
      <c r="J201">
        <v>116615.1</v>
      </c>
      <c r="K201">
        <f t="shared" si="3"/>
        <v>19355</v>
      </c>
    </row>
    <row r="202" spans="1:11" x14ac:dyDescent="0.45">
      <c r="A202" t="s">
        <v>17</v>
      </c>
      <c r="B202" t="s">
        <v>18</v>
      </c>
      <c r="C202" t="s">
        <v>27</v>
      </c>
      <c r="D202" t="s">
        <v>24</v>
      </c>
      <c r="E202" t="s">
        <v>20</v>
      </c>
      <c r="F202" s="7">
        <v>45124</v>
      </c>
      <c r="G202">
        <v>449</v>
      </c>
      <c r="H202">
        <v>424.35</v>
      </c>
      <c r="I202">
        <v>269.24</v>
      </c>
      <c r="J202">
        <v>190533.15</v>
      </c>
      <c r="K202">
        <f t="shared" si="3"/>
        <v>69644.39</v>
      </c>
    </row>
    <row r="203" spans="1:11" x14ac:dyDescent="0.45">
      <c r="A203" t="s">
        <v>22</v>
      </c>
      <c r="B203" t="s">
        <v>50</v>
      </c>
      <c r="C203" t="s">
        <v>19</v>
      </c>
      <c r="D203" t="s">
        <v>24</v>
      </c>
      <c r="E203" t="s">
        <v>28</v>
      </c>
      <c r="F203" s="7">
        <v>45125</v>
      </c>
      <c r="G203">
        <v>101</v>
      </c>
      <c r="H203">
        <v>457.55</v>
      </c>
      <c r="I203">
        <v>128.13999999999999</v>
      </c>
      <c r="J203">
        <v>46212.55</v>
      </c>
      <c r="K203">
        <f t="shared" si="3"/>
        <v>33270.410000000003</v>
      </c>
    </row>
    <row r="204" spans="1:11" x14ac:dyDescent="0.45">
      <c r="A204" t="s">
        <v>11</v>
      </c>
      <c r="B204" t="s">
        <v>26</v>
      </c>
      <c r="C204" t="s">
        <v>27</v>
      </c>
      <c r="D204" t="s">
        <v>14</v>
      </c>
      <c r="E204" t="s">
        <v>20</v>
      </c>
      <c r="F204" s="7">
        <v>45126</v>
      </c>
      <c r="G204">
        <v>248.5</v>
      </c>
      <c r="H204">
        <v>407.81</v>
      </c>
      <c r="I204">
        <v>351.95</v>
      </c>
      <c r="J204">
        <v>101340.785</v>
      </c>
      <c r="K204">
        <f t="shared" si="3"/>
        <v>13881.210000000003</v>
      </c>
    </row>
    <row r="205" spans="1:11" x14ac:dyDescent="0.45">
      <c r="A205" t="s">
        <v>11</v>
      </c>
      <c r="B205" t="s">
        <v>26</v>
      </c>
      <c r="C205" t="s">
        <v>13</v>
      </c>
      <c r="D205" t="s">
        <v>24</v>
      </c>
      <c r="E205" t="s">
        <v>20</v>
      </c>
      <c r="F205" s="7">
        <v>45127</v>
      </c>
      <c r="G205">
        <v>30</v>
      </c>
      <c r="H205">
        <v>58.91</v>
      </c>
      <c r="I205">
        <v>104.86</v>
      </c>
      <c r="J205">
        <v>1767.3</v>
      </c>
      <c r="K205">
        <f t="shared" si="3"/>
        <v>-1378.5</v>
      </c>
    </row>
    <row r="206" spans="1:11" x14ac:dyDescent="0.45">
      <c r="A206" t="s">
        <v>17</v>
      </c>
      <c r="B206" t="s">
        <v>50</v>
      </c>
      <c r="C206" t="s">
        <v>13</v>
      </c>
      <c r="D206" t="s">
        <v>14</v>
      </c>
      <c r="E206" t="s">
        <v>28</v>
      </c>
      <c r="F206" s="7">
        <v>45128</v>
      </c>
      <c r="G206">
        <v>312</v>
      </c>
      <c r="H206">
        <v>78.75</v>
      </c>
      <c r="I206">
        <v>218.52</v>
      </c>
      <c r="J206">
        <v>24570</v>
      </c>
      <c r="K206">
        <f t="shared" si="3"/>
        <v>-43608.240000000005</v>
      </c>
    </row>
    <row r="207" spans="1:11" x14ac:dyDescent="0.45">
      <c r="A207" t="s">
        <v>11</v>
      </c>
      <c r="B207" t="s">
        <v>12</v>
      </c>
      <c r="C207" t="s">
        <v>42</v>
      </c>
      <c r="D207" t="s">
        <v>24</v>
      </c>
      <c r="E207" t="s">
        <v>20</v>
      </c>
      <c r="F207" s="7">
        <v>45129</v>
      </c>
      <c r="G207">
        <v>473</v>
      </c>
      <c r="H207">
        <v>265.68</v>
      </c>
      <c r="I207">
        <v>255.16</v>
      </c>
      <c r="J207">
        <v>125666.64</v>
      </c>
      <c r="K207">
        <f t="shared" si="3"/>
        <v>4975.9600000000046</v>
      </c>
    </row>
    <row r="208" spans="1:11" x14ac:dyDescent="0.45">
      <c r="A208" t="s">
        <v>22</v>
      </c>
      <c r="B208" t="s">
        <v>26</v>
      </c>
      <c r="C208" t="s">
        <v>13</v>
      </c>
      <c r="D208" t="s">
        <v>14</v>
      </c>
      <c r="E208" t="s">
        <v>28</v>
      </c>
      <c r="F208" s="7">
        <v>45130</v>
      </c>
      <c r="G208">
        <v>366</v>
      </c>
      <c r="H208">
        <v>126.8</v>
      </c>
      <c r="I208">
        <v>89.98</v>
      </c>
      <c r="J208">
        <v>46408.800000000003</v>
      </c>
      <c r="K208">
        <f t="shared" si="3"/>
        <v>13476.119999999997</v>
      </c>
    </row>
    <row r="209" spans="1:11" x14ac:dyDescent="0.45">
      <c r="A209" t="s">
        <v>17</v>
      </c>
      <c r="B209" t="s">
        <v>12</v>
      </c>
      <c r="C209" t="s">
        <v>42</v>
      </c>
      <c r="D209" t="s">
        <v>14</v>
      </c>
      <c r="E209" t="s">
        <v>20</v>
      </c>
      <c r="F209" s="7">
        <v>45131</v>
      </c>
      <c r="G209">
        <v>452</v>
      </c>
      <c r="H209">
        <v>240.96</v>
      </c>
      <c r="I209">
        <v>391.4</v>
      </c>
      <c r="J209">
        <v>108913.92</v>
      </c>
      <c r="K209">
        <f t="shared" si="3"/>
        <v>-67998.87999999999</v>
      </c>
    </row>
    <row r="210" spans="1:11" x14ac:dyDescent="0.45">
      <c r="A210" t="s">
        <v>22</v>
      </c>
      <c r="B210" t="s">
        <v>26</v>
      </c>
      <c r="C210" t="s">
        <v>19</v>
      </c>
      <c r="D210" t="s">
        <v>24</v>
      </c>
      <c r="E210" t="s">
        <v>15</v>
      </c>
      <c r="F210" s="7">
        <v>45132</v>
      </c>
      <c r="G210">
        <v>93</v>
      </c>
      <c r="H210">
        <v>200.21</v>
      </c>
      <c r="I210">
        <v>299.77999999999997</v>
      </c>
      <c r="J210">
        <v>18619.53</v>
      </c>
      <c r="K210">
        <f t="shared" si="3"/>
        <v>-9260.0099999999966</v>
      </c>
    </row>
    <row r="211" spans="1:11" x14ac:dyDescent="0.45">
      <c r="A211" t="s">
        <v>17</v>
      </c>
      <c r="B211" t="s">
        <v>26</v>
      </c>
      <c r="C211" t="s">
        <v>27</v>
      </c>
      <c r="D211" t="s">
        <v>14</v>
      </c>
      <c r="E211" t="s">
        <v>28</v>
      </c>
      <c r="F211" s="7">
        <v>45133</v>
      </c>
      <c r="G211">
        <v>271</v>
      </c>
      <c r="H211">
        <v>276.95999999999998</v>
      </c>
      <c r="I211">
        <v>224.01</v>
      </c>
      <c r="J211">
        <v>75056.159999999989</v>
      </c>
      <c r="K211">
        <f t="shared" si="3"/>
        <v>14349.449999999997</v>
      </c>
    </row>
    <row r="212" spans="1:11" x14ac:dyDescent="0.45">
      <c r="A212" t="s">
        <v>17</v>
      </c>
      <c r="B212" t="s">
        <v>31</v>
      </c>
      <c r="C212" t="s">
        <v>27</v>
      </c>
      <c r="D212" t="s">
        <v>14</v>
      </c>
      <c r="E212" t="s">
        <v>20</v>
      </c>
      <c r="F212" s="7">
        <v>45134</v>
      </c>
      <c r="G212">
        <v>156</v>
      </c>
      <c r="H212">
        <v>374.7</v>
      </c>
      <c r="I212">
        <v>73.88</v>
      </c>
      <c r="J212">
        <v>58453.2</v>
      </c>
      <c r="K212">
        <f t="shared" si="3"/>
        <v>46927.92</v>
      </c>
    </row>
    <row r="213" spans="1:11" x14ac:dyDescent="0.45">
      <c r="A213" t="s">
        <v>48</v>
      </c>
      <c r="B213" t="s">
        <v>26</v>
      </c>
      <c r="C213" t="s">
        <v>42</v>
      </c>
      <c r="D213" t="s">
        <v>24</v>
      </c>
      <c r="E213" t="s">
        <v>20</v>
      </c>
      <c r="F213" s="7">
        <v>45135</v>
      </c>
      <c r="G213">
        <v>450</v>
      </c>
      <c r="H213">
        <v>359.17</v>
      </c>
      <c r="I213">
        <v>23.44</v>
      </c>
      <c r="J213">
        <v>161626.5</v>
      </c>
      <c r="K213">
        <f t="shared" si="3"/>
        <v>151078.5</v>
      </c>
    </row>
    <row r="214" spans="1:11" x14ac:dyDescent="0.45">
      <c r="A214" t="s">
        <v>22</v>
      </c>
      <c r="B214" t="s">
        <v>18</v>
      </c>
      <c r="C214" t="s">
        <v>27</v>
      </c>
      <c r="D214" t="s">
        <v>14</v>
      </c>
      <c r="E214" t="s">
        <v>15</v>
      </c>
      <c r="F214" s="7">
        <v>45136</v>
      </c>
      <c r="G214">
        <v>462</v>
      </c>
      <c r="H214">
        <v>263.01</v>
      </c>
      <c r="I214">
        <v>129.38</v>
      </c>
      <c r="J214">
        <v>121510.62</v>
      </c>
      <c r="K214">
        <f t="shared" si="3"/>
        <v>61737.06</v>
      </c>
    </row>
    <row r="215" spans="1:11" x14ac:dyDescent="0.45">
      <c r="A215" t="s">
        <v>11</v>
      </c>
      <c r="B215" t="s">
        <v>50</v>
      </c>
      <c r="C215" t="s">
        <v>13</v>
      </c>
      <c r="D215" t="s">
        <v>14</v>
      </c>
      <c r="E215" t="s">
        <v>28</v>
      </c>
      <c r="F215" s="7">
        <v>45137</v>
      </c>
      <c r="G215">
        <v>396</v>
      </c>
      <c r="H215">
        <v>412.08</v>
      </c>
      <c r="I215">
        <v>301.77</v>
      </c>
      <c r="J215">
        <v>163183.67999999999</v>
      </c>
      <c r="K215">
        <f t="shared" si="3"/>
        <v>43682.76</v>
      </c>
    </row>
    <row r="216" spans="1:11" x14ac:dyDescent="0.45">
      <c r="A216" t="s">
        <v>11</v>
      </c>
      <c r="B216" t="s">
        <v>50</v>
      </c>
      <c r="C216" t="s">
        <v>23</v>
      </c>
      <c r="D216" t="s">
        <v>24</v>
      </c>
      <c r="E216" t="s">
        <v>20</v>
      </c>
      <c r="F216" s="7">
        <v>45138</v>
      </c>
      <c r="G216">
        <v>266</v>
      </c>
      <c r="H216">
        <v>218.28</v>
      </c>
      <c r="I216">
        <v>109.19</v>
      </c>
      <c r="J216">
        <v>58062.48</v>
      </c>
      <c r="K216">
        <f t="shared" si="3"/>
        <v>29017.940000000002</v>
      </c>
    </row>
    <row r="217" spans="1:11" x14ac:dyDescent="0.45">
      <c r="A217" t="s">
        <v>22</v>
      </c>
      <c r="B217" t="s">
        <v>12</v>
      </c>
      <c r="C217" t="s">
        <v>42</v>
      </c>
      <c r="D217" t="s">
        <v>24</v>
      </c>
      <c r="E217" t="s">
        <v>15</v>
      </c>
      <c r="F217" s="7">
        <v>45139</v>
      </c>
      <c r="G217">
        <v>67</v>
      </c>
      <c r="H217">
        <v>448.87</v>
      </c>
      <c r="I217">
        <v>216.74</v>
      </c>
      <c r="J217">
        <v>30074.29</v>
      </c>
      <c r="K217">
        <f t="shared" si="3"/>
        <v>15552.71</v>
      </c>
    </row>
    <row r="218" spans="1:11" x14ac:dyDescent="0.45">
      <c r="A218" t="s">
        <v>11</v>
      </c>
      <c r="B218" t="s">
        <v>26</v>
      </c>
      <c r="C218" t="s">
        <v>27</v>
      </c>
      <c r="D218" t="s">
        <v>14</v>
      </c>
      <c r="E218" t="s">
        <v>20</v>
      </c>
      <c r="F218" s="7">
        <v>45140</v>
      </c>
      <c r="G218">
        <v>389</v>
      </c>
      <c r="H218">
        <v>40.28</v>
      </c>
      <c r="I218">
        <v>291.72000000000003</v>
      </c>
      <c r="J218">
        <v>15668.92</v>
      </c>
      <c r="K218">
        <f t="shared" si="3"/>
        <v>-97810.16</v>
      </c>
    </row>
    <row r="219" spans="1:11" x14ac:dyDescent="0.45">
      <c r="A219" t="s">
        <v>11</v>
      </c>
      <c r="B219" t="s">
        <v>18</v>
      </c>
      <c r="C219" t="s">
        <v>42</v>
      </c>
      <c r="D219" t="s">
        <v>14</v>
      </c>
      <c r="E219" t="s">
        <v>28</v>
      </c>
      <c r="F219" s="7">
        <v>45141</v>
      </c>
      <c r="G219">
        <v>431</v>
      </c>
      <c r="H219">
        <v>477.56</v>
      </c>
      <c r="I219">
        <v>44.96</v>
      </c>
      <c r="J219">
        <v>205828.36</v>
      </c>
      <c r="K219">
        <f t="shared" si="3"/>
        <v>186450.6</v>
      </c>
    </row>
    <row r="220" spans="1:11" x14ac:dyDescent="0.45">
      <c r="A220" t="s">
        <v>22</v>
      </c>
      <c r="B220" t="s">
        <v>12</v>
      </c>
      <c r="C220" t="s">
        <v>42</v>
      </c>
      <c r="D220" t="s">
        <v>24</v>
      </c>
      <c r="E220" t="s">
        <v>20</v>
      </c>
      <c r="F220" s="7">
        <v>45142</v>
      </c>
      <c r="G220">
        <v>24</v>
      </c>
      <c r="H220">
        <v>329.07</v>
      </c>
      <c r="I220">
        <v>274.75</v>
      </c>
      <c r="J220">
        <v>7897.68</v>
      </c>
      <c r="K220">
        <f t="shared" si="3"/>
        <v>1303.6799999999998</v>
      </c>
    </row>
    <row r="221" spans="1:11" x14ac:dyDescent="0.45">
      <c r="A221" t="s">
        <v>17</v>
      </c>
      <c r="B221" t="s">
        <v>31</v>
      </c>
      <c r="C221" t="s">
        <v>23</v>
      </c>
      <c r="D221" t="s">
        <v>24</v>
      </c>
      <c r="E221" t="s">
        <v>20</v>
      </c>
      <c r="F221" s="7">
        <v>45143</v>
      </c>
      <c r="G221">
        <v>171</v>
      </c>
      <c r="H221">
        <v>193.14</v>
      </c>
      <c r="I221">
        <v>38.56</v>
      </c>
      <c r="J221">
        <v>33026.94</v>
      </c>
      <c r="K221">
        <f t="shared" si="3"/>
        <v>26433.179999999997</v>
      </c>
    </row>
    <row r="222" spans="1:11" x14ac:dyDescent="0.45">
      <c r="A222" t="s">
        <v>22</v>
      </c>
      <c r="B222" t="s">
        <v>12</v>
      </c>
      <c r="C222" t="s">
        <v>13</v>
      </c>
      <c r="D222" t="s">
        <v>14</v>
      </c>
      <c r="E222" t="s">
        <v>20</v>
      </c>
      <c r="F222" s="7">
        <v>45144</v>
      </c>
      <c r="G222">
        <v>454</v>
      </c>
      <c r="H222">
        <v>102.59</v>
      </c>
      <c r="I222">
        <v>386.12</v>
      </c>
      <c r="J222">
        <v>46575.86</v>
      </c>
      <c r="K222">
        <f t="shared" si="3"/>
        <v>-128722.61999999998</v>
      </c>
    </row>
    <row r="223" spans="1:11" x14ac:dyDescent="0.45">
      <c r="A223" t="s">
        <v>17</v>
      </c>
      <c r="B223" t="s">
        <v>12</v>
      </c>
      <c r="C223" t="s">
        <v>42</v>
      </c>
      <c r="D223" t="s">
        <v>24</v>
      </c>
      <c r="E223" t="s">
        <v>20</v>
      </c>
      <c r="F223" s="7">
        <v>45145</v>
      </c>
      <c r="G223">
        <v>172</v>
      </c>
      <c r="H223">
        <v>242.2</v>
      </c>
      <c r="I223">
        <v>196.38</v>
      </c>
      <c r="J223">
        <v>41658.400000000001</v>
      </c>
      <c r="K223">
        <f t="shared" si="3"/>
        <v>7881.0399999999991</v>
      </c>
    </row>
    <row r="224" spans="1:11" x14ac:dyDescent="0.45">
      <c r="A224" t="s">
        <v>11</v>
      </c>
      <c r="B224" t="s">
        <v>26</v>
      </c>
      <c r="C224" t="s">
        <v>27</v>
      </c>
      <c r="D224" t="s">
        <v>14</v>
      </c>
      <c r="E224" t="s">
        <v>15</v>
      </c>
      <c r="F224" s="7">
        <v>45146</v>
      </c>
      <c r="G224">
        <v>329</v>
      </c>
      <c r="H224">
        <v>101.31</v>
      </c>
      <c r="I224">
        <v>61.97</v>
      </c>
      <c r="J224">
        <v>33330.99</v>
      </c>
      <c r="K224">
        <f t="shared" si="3"/>
        <v>12942.86</v>
      </c>
    </row>
    <row r="225" spans="1:11" x14ac:dyDescent="0.45">
      <c r="A225" t="s">
        <v>11</v>
      </c>
      <c r="B225" t="s">
        <v>31</v>
      </c>
      <c r="C225" t="s">
        <v>19</v>
      </c>
      <c r="D225" t="s">
        <v>14</v>
      </c>
      <c r="E225" t="s">
        <v>15</v>
      </c>
      <c r="F225" s="7">
        <v>45147</v>
      </c>
      <c r="G225">
        <v>290</v>
      </c>
      <c r="H225">
        <v>87.33</v>
      </c>
      <c r="I225">
        <v>138.27000000000001</v>
      </c>
      <c r="J225">
        <v>25325.7</v>
      </c>
      <c r="K225">
        <f t="shared" si="3"/>
        <v>-14772.600000000004</v>
      </c>
    </row>
    <row r="226" spans="1:11" x14ac:dyDescent="0.45">
      <c r="A226" t="s">
        <v>17</v>
      </c>
      <c r="B226" t="s">
        <v>12</v>
      </c>
      <c r="C226" t="s">
        <v>42</v>
      </c>
      <c r="D226" t="s">
        <v>14</v>
      </c>
      <c r="E226" t="s">
        <v>28</v>
      </c>
      <c r="F226" s="7">
        <v>45148</v>
      </c>
      <c r="G226">
        <v>289</v>
      </c>
      <c r="H226">
        <v>310.58999999999997</v>
      </c>
      <c r="I226">
        <v>166.54</v>
      </c>
      <c r="J226">
        <v>89760.51</v>
      </c>
      <c r="K226">
        <f t="shared" si="3"/>
        <v>41630.449999999997</v>
      </c>
    </row>
    <row r="227" spans="1:11" x14ac:dyDescent="0.45">
      <c r="A227" t="s">
        <v>48</v>
      </c>
      <c r="B227" t="s">
        <v>18</v>
      </c>
      <c r="C227" t="s">
        <v>42</v>
      </c>
      <c r="D227" t="s">
        <v>14</v>
      </c>
      <c r="E227" t="s">
        <v>15</v>
      </c>
      <c r="F227" s="7">
        <v>45149</v>
      </c>
      <c r="G227">
        <v>21</v>
      </c>
      <c r="H227">
        <v>263.93</v>
      </c>
      <c r="I227">
        <v>303.76</v>
      </c>
      <c r="J227">
        <v>5542.53</v>
      </c>
      <c r="K227">
        <f t="shared" si="3"/>
        <v>-836.42999999999961</v>
      </c>
    </row>
    <row r="228" spans="1:11" x14ac:dyDescent="0.45">
      <c r="A228" t="s">
        <v>17</v>
      </c>
      <c r="B228" t="s">
        <v>18</v>
      </c>
      <c r="C228" t="s">
        <v>23</v>
      </c>
      <c r="D228" t="s">
        <v>14</v>
      </c>
      <c r="E228" t="s">
        <v>15</v>
      </c>
      <c r="F228" s="7">
        <v>45150</v>
      </c>
      <c r="G228">
        <v>283</v>
      </c>
      <c r="H228">
        <v>336.7</v>
      </c>
      <c r="I228">
        <v>297.88</v>
      </c>
      <c r="J228">
        <v>95286.099999999991</v>
      </c>
      <c r="K228">
        <f t="shared" si="3"/>
        <v>10986.059999999998</v>
      </c>
    </row>
    <row r="229" spans="1:11" x14ac:dyDescent="0.45">
      <c r="A229" t="s">
        <v>48</v>
      </c>
      <c r="B229" t="s">
        <v>50</v>
      </c>
      <c r="C229" t="s">
        <v>13</v>
      </c>
      <c r="D229" t="s">
        <v>24</v>
      </c>
      <c r="E229" t="s">
        <v>28</v>
      </c>
      <c r="F229" s="7">
        <v>45151</v>
      </c>
      <c r="G229">
        <v>280</v>
      </c>
      <c r="H229">
        <v>465.15</v>
      </c>
      <c r="I229">
        <v>245.55</v>
      </c>
      <c r="J229">
        <v>130242</v>
      </c>
      <c r="K229">
        <f t="shared" si="3"/>
        <v>61487.999999999993</v>
      </c>
    </row>
    <row r="230" spans="1:11" x14ac:dyDescent="0.45">
      <c r="A230" t="s">
        <v>48</v>
      </c>
      <c r="B230" t="s">
        <v>31</v>
      </c>
      <c r="C230" t="s">
        <v>19</v>
      </c>
      <c r="D230" t="s">
        <v>24</v>
      </c>
      <c r="E230" t="s">
        <v>15</v>
      </c>
      <c r="F230" s="7">
        <v>45152</v>
      </c>
      <c r="G230">
        <v>217</v>
      </c>
      <c r="H230">
        <v>268.47000000000003</v>
      </c>
      <c r="I230">
        <v>44.16</v>
      </c>
      <c r="J230">
        <v>58257.990000000013</v>
      </c>
      <c r="K230">
        <f t="shared" si="3"/>
        <v>48675.270000000004</v>
      </c>
    </row>
    <row r="231" spans="1:11" x14ac:dyDescent="0.45">
      <c r="A231" t="s">
        <v>22</v>
      </c>
      <c r="B231" t="s">
        <v>31</v>
      </c>
      <c r="C231" t="s">
        <v>27</v>
      </c>
      <c r="D231" t="s">
        <v>24</v>
      </c>
      <c r="E231" t="s">
        <v>15</v>
      </c>
      <c r="F231" s="7">
        <v>45153</v>
      </c>
      <c r="G231">
        <v>36</v>
      </c>
      <c r="H231">
        <v>292.56</v>
      </c>
      <c r="I231">
        <v>62.32</v>
      </c>
      <c r="J231">
        <v>10532.16</v>
      </c>
      <c r="K231">
        <f t="shared" si="3"/>
        <v>8288.64</v>
      </c>
    </row>
    <row r="232" spans="1:11" x14ac:dyDescent="0.45">
      <c r="A232" t="s">
        <v>48</v>
      </c>
      <c r="B232" t="s">
        <v>50</v>
      </c>
      <c r="C232" t="s">
        <v>19</v>
      </c>
      <c r="D232" t="s">
        <v>24</v>
      </c>
      <c r="E232" t="s">
        <v>28</v>
      </c>
      <c r="F232" s="7">
        <v>45154</v>
      </c>
      <c r="G232">
        <v>248.5</v>
      </c>
      <c r="H232">
        <v>49.37</v>
      </c>
      <c r="I232">
        <v>39.32</v>
      </c>
      <c r="J232">
        <v>12268.445</v>
      </c>
      <c r="K232">
        <f t="shared" si="3"/>
        <v>2497.4249999999993</v>
      </c>
    </row>
    <row r="233" spans="1:11" x14ac:dyDescent="0.45">
      <c r="A233" t="s">
        <v>22</v>
      </c>
      <c r="B233" t="s">
        <v>12</v>
      </c>
      <c r="C233" t="s">
        <v>27</v>
      </c>
      <c r="D233" t="s">
        <v>14</v>
      </c>
      <c r="E233" t="s">
        <v>28</v>
      </c>
      <c r="F233" s="7">
        <v>45155</v>
      </c>
      <c r="G233">
        <v>69</v>
      </c>
      <c r="H233">
        <v>360.23</v>
      </c>
      <c r="I233">
        <v>231.71</v>
      </c>
      <c r="J233">
        <v>24855.87</v>
      </c>
      <c r="K233">
        <f t="shared" si="3"/>
        <v>8867.880000000001</v>
      </c>
    </row>
    <row r="234" spans="1:11" x14ac:dyDescent="0.45">
      <c r="A234" t="s">
        <v>22</v>
      </c>
      <c r="B234" t="s">
        <v>31</v>
      </c>
      <c r="C234" t="s">
        <v>13</v>
      </c>
      <c r="D234" t="s">
        <v>14</v>
      </c>
      <c r="E234" t="s">
        <v>28</v>
      </c>
      <c r="F234" s="7">
        <v>45156</v>
      </c>
      <c r="G234">
        <v>439</v>
      </c>
      <c r="H234">
        <v>202.95</v>
      </c>
      <c r="I234">
        <v>351.1</v>
      </c>
      <c r="J234">
        <v>89095.049999999988</v>
      </c>
      <c r="K234">
        <f t="shared" si="3"/>
        <v>-65037.850000000013</v>
      </c>
    </row>
    <row r="235" spans="1:11" x14ac:dyDescent="0.45">
      <c r="A235" t="s">
        <v>48</v>
      </c>
      <c r="B235" t="s">
        <v>18</v>
      </c>
      <c r="C235" t="s">
        <v>27</v>
      </c>
      <c r="D235" t="s">
        <v>14</v>
      </c>
      <c r="E235" t="s">
        <v>20</v>
      </c>
      <c r="F235" s="7">
        <v>45157</v>
      </c>
      <c r="G235">
        <v>482</v>
      </c>
      <c r="H235">
        <v>488.48</v>
      </c>
      <c r="I235">
        <v>174.65</v>
      </c>
      <c r="J235">
        <v>235447.36</v>
      </c>
      <c r="K235">
        <f t="shared" si="3"/>
        <v>151266.06000000003</v>
      </c>
    </row>
    <row r="236" spans="1:11" x14ac:dyDescent="0.45">
      <c r="A236" t="s">
        <v>17</v>
      </c>
      <c r="B236" t="s">
        <v>18</v>
      </c>
      <c r="C236" t="s">
        <v>23</v>
      </c>
      <c r="D236" t="s">
        <v>14</v>
      </c>
      <c r="E236" t="s">
        <v>20</v>
      </c>
      <c r="F236" s="7">
        <v>45158</v>
      </c>
      <c r="G236">
        <v>154</v>
      </c>
      <c r="H236">
        <v>412.47</v>
      </c>
      <c r="I236">
        <v>66.02</v>
      </c>
      <c r="J236">
        <v>63520.38</v>
      </c>
      <c r="K236">
        <f t="shared" si="3"/>
        <v>53353.30000000001</v>
      </c>
    </row>
    <row r="237" spans="1:11" x14ac:dyDescent="0.45">
      <c r="A237" t="s">
        <v>17</v>
      </c>
      <c r="B237" t="s">
        <v>26</v>
      </c>
      <c r="C237" t="s">
        <v>23</v>
      </c>
      <c r="D237" t="s">
        <v>24</v>
      </c>
      <c r="E237" t="s">
        <v>28</v>
      </c>
      <c r="F237" s="7">
        <v>45159</v>
      </c>
      <c r="G237">
        <v>102</v>
      </c>
      <c r="H237">
        <v>263.63</v>
      </c>
      <c r="I237">
        <v>224.1</v>
      </c>
      <c r="J237">
        <v>26890.26</v>
      </c>
      <c r="K237">
        <f t="shared" si="3"/>
        <v>4032.06</v>
      </c>
    </row>
    <row r="238" spans="1:11" x14ac:dyDescent="0.45">
      <c r="A238" t="s">
        <v>17</v>
      </c>
      <c r="B238" t="s">
        <v>31</v>
      </c>
      <c r="C238" t="s">
        <v>23</v>
      </c>
      <c r="D238" t="s">
        <v>14</v>
      </c>
      <c r="E238" t="s">
        <v>28</v>
      </c>
      <c r="F238" s="7">
        <v>45160</v>
      </c>
      <c r="G238">
        <v>318</v>
      </c>
      <c r="H238">
        <v>66</v>
      </c>
      <c r="I238">
        <v>325.08</v>
      </c>
      <c r="J238">
        <v>20988</v>
      </c>
      <c r="K238">
        <f t="shared" si="3"/>
        <v>-82387.439999999988</v>
      </c>
    </row>
    <row r="239" spans="1:11" x14ac:dyDescent="0.45">
      <c r="A239" t="s">
        <v>17</v>
      </c>
      <c r="B239" t="s">
        <v>12</v>
      </c>
      <c r="C239" t="s">
        <v>23</v>
      </c>
      <c r="D239" t="s">
        <v>14</v>
      </c>
      <c r="E239" t="s">
        <v>28</v>
      </c>
      <c r="F239" s="7">
        <v>45161</v>
      </c>
      <c r="G239">
        <v>17</v>
      </c>
      <c r="H239">
        <v>430.41</v>
      </c>
      <c r="I239">
        <v>297.2</v>
      </c>
      <c r="J239">
        <v>7316.97</v>
      </c>
      <c r="K239">
        <f t="shared" si="3"/>
        <v>2264.5700000000006</v>
      </c>
    </row>
    <row r="240" spans="1:11" x14ac:dyDescent="0.45">
      <c r="A240" t="s">
        <v>17</v>
      </c>
      <c r="B240" t="s">
        <v>50</v>
      </c>
      <c r="C240" t="s">
        <v>19</v>
      </c>
      <c r="D240" t="s">
        <v>24</v>
      </c>
      <c r="E240" t="s">
        <v>20</v>
      </c>
      <c r="F240" s="7">
        <v>45162</v>
      </c>
      <c r="G240">
        <v>88</v>
      </c>
      <c r="H240">
        <v>400.89</v>
      </c>
      <c r="I240">
        <v>352.82</v>
      </c>
      <c r="J240">
        <v>35278.32</v>
      </c>
      <c r="K240">
        <f t="shared" si="3"/>
        <v>4230.16</v>
      </c>
    </row>
    <row r="241" spans="1:11" x14ac:dyDescent="0.45">
      <c r="A241" t="s">
        <v>48</v>
      </c>
      <c r="B241" t="s">
        <v>50</v>
      </c>
      <c r="C241" t="s">
        <v>13</v>
      </c>
      <c r="D241" t="s">
        <v>24</v>
      </c>
      <c r="E241" t="s">
        <v>20</v>
      </c>
      <c r="F241" s="7">
        <v>45163</v>
      </c>
      <c r="G241">
        <v>36</v>
      </c>
      <c r="H241">
        <v>96.37</v>
      </c>
      <c r="I241">
        <v>112.61</v>
      </c>
      <c r="J241">
        <v>3469.32</v>
      </c>
      <c r="K241">
        <f t="shared" si="3"/>
        <v>-584.63999999999987</v>
      </c>
    </row>
    <row r="242" spans="1:11" x14ac:dyDescent="0.45">
      <c r="A242" t="s">
        <v>48</v>
      </c>
      <c r="B242" t="s">
        <v>12</v>
      </c>
      <c r="C242" t="s">
        <v>27</v>
      </c>
      <c r="D242" t="s">
        <v>24</v>
      </c>
      <c r="E242" t="s">
        <v>15</v>
      </c>
      <c r="F242" s="7">
        <v>45164</v>
      </c>
      <c r="G242">
        <v>183</v>
      </c>
      <c r="H242">
        <v>151.16</v>
      </c>
      <c r="I242">
        <v>79.19</v>
      </c>
      <c r="J242">
        <v>27662.28</v>
      </c>
      <c r="K242">
        <f t="shared" si="3"/>
        <v>13170.51</v>
      </c>
    </row>
    <row r="243" spans="1:11" x14ac:dyDescent="0.45">
      <c r="A243" t="s">
        <v>11</v>
      </c>
      <c r="B243" t="s">
        <v>26</v>
      </c>
      <c r="C243" t="s">
        <v>27</v>
      </c>
      <c r="D243" t="s">
        <v>24</v>
      </c>
      <c r="E243" t="s">
        <v>15</v>
      </c>
      <c r="F243" s="7">
        <v>45165</v>
      </c>
      <c r="G243">
        <v>59</v>
      </c>
      <c r="H243">
        <v>397.74</v>
      </c>
      <c r="I243">
        <v>352.17</v>
      </c>
      <c r="J243">
        <v>23466.66</v>
      </c>
      <c r="K243">
        <f t="shared" si="3"/>
        <v>2688.6299999999997</v>
      </c>
    </row>
    <row r="244" spans="1:11" x14ac:dyDescent="0.45">
      <c r="A244" t="s">
        <v>17</v>
      </c>
      <c r="B244" t="s">
        <v>50</v>
      </c>
      <c r="C244" t="s">
        <v>23</v>
      </c>
      <c r="D244" t="s">
        <v>14</v>
      </c>
      <c r="E244" t="s">
        <v>28</v>
      </c>
      <c r="F244" s="7">
        <v>45166</v>
      </c>
      <c r="G244">
        <v>208</v>
      </c>
      <c r="H244">
        <v>96.69</v>
      </c>
      <c r="I244">
        <v>263.70999999999998</v>
      </c>
      <c r="J244">
        <v>20111.52</v>
      </c>
      <c r="K244">
        <f t="shared" si="3"/>
        <v>-34740.159999999996</v>
      </c>
    </row>
    <row r="245" spans="1:11" x14ac:dyDescent="0.45">
      <c r="A245" t="s">
        <v>48</v>
      </c>
      <c r="B245" t="s">
        <v>31</v>
      </c>
      <c r="C245" t="s">
        <v>23</v>
      </c>
      <c r="D245" t="s">
        <v>14</v>
      </c>
      <c r="E245" t="s">
        <v>20</v>
      </c>
      <c r="F245" s="7">
        <v>45167</v>
      </c>
      <c r="G245">
        <v>396</v>
      </c>
      <c r="H245">
        <v>459.29</v>
      </c>
      <c r="I245">
        <v>125.75</v>
      </c>
      <c r="J245">
        <v>181878.84</v>
      </c>
      <c r="K245">
        <f t="shared" si="3"/>
        <v>132081.84</v>
      </c>
    </row>
    <row r="246" spans="1:11" x14ac:dyDescent="0.45">
      <c r="A246" t="s">
        <v>11</v>
      </c>
      <c r="B246" t="s">
        <v>26</v>
      </c>
      <c r="C246" t="s">
        <v>42</v>
      </c>
      <c r="D246" t="s">
        <v>24</v>
      </c>
      <c r="E246" t="s">
        <v>20</v>
      </c>
      <c r="F246" s="7">
        <v>45168</v>
      </c>
      <c r="G246">
        <v>358</v>
      </c>
      <c r="H246">
        <v>215.14</v>
      </c>
      <c r="I246">
        <v>297.45</v>
      </c>
      <c r="J246">
        <v>77020.12</v>
      </c>
      <c r="K246">
        <f t="shared" si="3"/>
        <v>-29466.98</v>
      </c>
    </row>
    <row r="247" spans="1:11" x14ac:dyDescent="0.45">
      <c r="A247" t="s">
        <v>17</v>
      </c>
      <c r="B247" t="s">
        <v>31</v>
      </c>
      <c r="C247" t="s">
        <v>13</v>
      </c>
      <c r="D247" t="s">
        <v>14</v>
      </c>
      <c r="E247" t="s">
        <v>20</v>
      </c>
      <c r="F247" s="7">
        <v>45169</v>
      </c>
      <c r="G247">
        <v>457</v>
      </c>
      <c r="H247">
        <v>48.08</v>
      </c>
      <c r="I247">
        <v>326.42</v>
      </c>
      <c r="J247">
        <v>21972.560000000001</v>
      </c>
      <c r="K247">
        <f t="shared" si="3"/>
        <v>-127201.38000000002</v>
      </c>
    </row>
    <row r="248" spans="1:11" x14ac:dyDescent="0.45">
      <c r="A248" t="s">
        <v>22</v>
      </c>
      <c r="B248" t="s">
        <v>18</v>
      </c>
      <c r="C248" t="s">
        <v>19</v>
      </c>
      <c r="D248" t="s">
        <v>14</v>
      </c>
      <c r="E248" t="s">
        <v>28</v>
      </c>
      <c r="F248" s="7">
        <v>45170</v>
      </c>
      <c r="G248">
        <v>437</v>
      </c>
      <c r="H248">
        <v>408.8</v>
      </c>
      <c r="I248">
        <v>246.76</v>
      </c>
      <c r="J248">
        <v>178645.6</v>
      </c>
      <c r="K248">
        <f t="shared" si="3"/>
        <v>70811.48000000001</v>
      </c>
    </row>
    <row r="249" spans="1:11" x14ac:dyDescent="0.45">
      <c r="A249" t="s">
        <v>11</v>
      </c>
      <c r="B249" t="s">
        <v>26</v>
      </c>
      <c r="C249" t="s">
        <v>27</v>
      </c>
      <c r="D249" t="s">
        <v>14</v>
      </c>
      <c r="E249" t="s">
        <v>15</v>
      </c>
      <c r="F249" s="7">
        <v>45171</v>
      </c>
      <c r="G249">
        <v>190</v>
      </c>
      <c r="H249">
        <v>189.89</v>
      </c>
      <c r="I249">
        <v>275.77999999999997</v>
      </c>
      <c r="J249">
        <v>36079.1</v>
      </c>
      <c r="K249">
        <f t="shared" si="3"/>
        <v>-16319.099999999997</v>
      </c>
    </row>
    <row r="250" spans="1:11" x14ac:dyDescent="0.45">
      <c r="A250" t="s">
        <v>48</v>
      </c>
      <c r="B250" t="s">
        <v>50</v>
      </c>
      <c r="C250" t="s">
        <v>42</v>
      </c>
      <c r="D250" t="s">
        <v>24</v>
      </c>
      <c r="E250" t="s">
        <v>28</v>
      </c>
      <c r="F250" s="7">
        <v>45172</v>
      </c>
      <c r="G250">
        <v>33</v>
      </c>
      <c r="H250">
        <v>265.62</v>
      </c>
      <c r="I250">
        <v>151.35</v>
      </c>
      <c r="J250">
        <v>8765.4600000000009</v>
      </c>
      <c r="K250">
        <f t="shared" si="3"/>
        <v>3770.9100000000003</v>
      </c>
    </row>
    <row r="251" spans="1:11" x14ac:dyDescent="0.45">
      <c r="A251" t="s">
        <v>22</v>
      </c>
      <c r="B251" t="s">
        <v>26</v>
      </c>
      <c r="C251" t="s">
        <v>42</v>
      </c>
      <c r="D251" t="s">
        <v>14</v>
      </c>
      <c r="E251" t="s">
        <v>15</v>
      </c>
      <c r="F251" s="7">
        <v>45173</v>
      </c>
      <c r="G251">
        <v>325</v>
      </c>
      <c r="H251">
        <v>60.59</v>
      </c>
      <c r="I251">
        <v>216.4</v>
      </c>
      <c r="J251">
        <v>19691.75</v>
      </c>
      <c r="K251">
        <f t="shared" si="3"/>
        <v>-50638.25</v>
      </c>
    </row>
    <row r="252" spans="1:11" x14ac:dyDescent="0.45">
      <c r="A252" t="s">
        <v>22</v>
      </c>
      <c r="B252" t="s">
        <v>26</v>
      </c>
      <c r="C252" t="s">
        <v>27</v>
      </c>
      <c r="D252" t="s">
        <v>24</v>
      </c>
      <c r="E252" t="s">
        <v>15</v>
      </c>
      <c r="F252" s="7">
        <v>45174</v>
      </c>
      <c r="G252">
        <v>387</v>
      </c>
      <c r="H252">
        <v>6.28</v>
      </c>
      <c r="I252">
        <v>210.62</v>
      </c>
      <c r="J252">
        <v>2430.36</v>
      </c>
      <c r="K252">
        <f t="shared" si="3"/>
        <v>-79079.58</v>
      </c>
    </row>
    <row r="253" spans="1:11" x14ac:dyDescent="0.45">
      <c r="A253" t="s">
        <v>22</v>
      </c>
      <c r="B253" t="s">
        <v>26</v>
      </c>
      <c r="C253" t="s">
        <v>19</v>
      </c>
      <c r="D253" t="s">
        <v>14</v>
      </c>
      <c r="E253" t="s">
        <v>28</v>
      </c>
      <c r="F253" s="7">
        <v>45175</v>
      </c>
      <c r="G253">
        <v>396</v>
      </c>
      <c r="H253">
        <v>320.8</v>
      </c>
      <c r="I253">
        <v>339.52</v>
      </c>
      <c r="J253">
        <v>127036.8</v>
      </c>
      <c r="K253">
        <f t="shared" si="3"/>
        <v>-7413.1199999999881</v>
      </c>
    </row>
    <row r="254" spans="1:11" x14ac:dyDescent="0.45">
      <c r="A254" t="s">
        <v>11</v>
      </c>
      <c r="B254" t="s">
        <v>26</v>
      </c>
      <c r="C254" t="s">
        <v>42</v>
      </c>
      <c r="D254" t="s">
        <v>14</v>
      </c>
      <c r="E254" t="s">
        <v>15</v>
      </c>
      <c r="F254" s="7">
        <v>45176</v>
      </c>
      <c r="G254">
        <v>413</v>
      </c>
      <c r="H254">
        <v>260.01</v>
      </c>
      <c r="I254">
        <v>336.31</v>
      </c>
      <c r="J254">
        <v>107384.13</v>
      </c>
      <c r="K254">
        <f t="shared" si="3"/>
        <v>-31511.900000000005</v>
      </c>
    </row>
    <row r="255" spans="1:11" x14ac:dyDescent="0.45">
      <c r="A255" t="s">
        <v>48</v>
      </c>
      <c r="B255" t="s">
        <v>31</v>
      </c>
      <c r="C255" t="s">
        <v>42</v>
      </c>
      <c r="D255" t="s">
        <v>14</v>
      </c>
      <c r="E255" t="s">
        <v>15</v>
      </c>
      <c r="F255" s="7">
        <v>45177</v>
      </c>
      <c r="G255">
        <v>248.5</v>
      </c>
      <c r="H255">
        <v>298.8</v>
      </c>
      <c r="I255">
        <v>333.41</v>
      </c>
      <c r="J255">
        <v>74251.8</v>
      </c>
      <c r="K255">
        <f t="shared" si="3"/>
        <v>-8600.5850000000028</v>
      </c>
    </row>
    <row r="256" spans="1:11" x14ac:dyDescent="0.45">
      <c r="A256" t="s">
        <v>22</v>
      </c>
      <c r="B256" t="s">
        <v>18</v>
      </c>
      <c r="C256" t="s">
        <v>13</v>
      </c>
      <c r="D256" t="s">
        <v>24</v>
      </c>
      <c r="E256" t="s">
        <v>20</v>
      </c>
      <c r="F256" s="7">
        <v>45178</v>
      </c>
      <c r="G256">
        <v>24</v>
      </c>
      <c r="H256">
        <v>397.9</v>
      </c>
      <c r="I256">
        <v>6.39</v>
      </c>
      <c r="J256">
        <v>9549.5999999999985</v>
      </c>
      <c r="K256">
        <f t="shared" si="3"/>
        <v>9396.24</v>
      </c>
    </row>
    <row r="257" spans="1:11" x14ac:dyDescent="0.45">
      <c r="A257" t="s">
        <v>17</v>
      </c>
      <c r="B257" t="s">
        <v>12</v>
      </c>
      <c r="C257" t="s">
        <v>13</v>
      </c>
      <c r="D257" t="s">
        <v>14</v>
      </c>
      <c r="E257" t="s">
        <v>15</v>
      </c>
      <c r="F257" s="7">
        <v>45179</v>
      </c>
      <c r="G257">
        <v>162</v>
      </c>
      <c r="H257">
        <v>325.07</v>
      </c>
      <c r="I257">
        <v>300.32</v>
      </c>
      <c r="J257">
        <v>52661.34</v>
      </c>
      <c r="K257">
        <f t="shared" si="3"/>
        <v>4009.5</v>
      </c>
    </row>
    <row r="258" spans="1:11" x14ac:dyDescent="0.45">
      <c r="A258" t="s">
        <v>22</v>
      </c>
      <c r="B258" t="s">
        <v>26</v>
      </c>
      <c r="C258" t="s">
        <v>42</v>
      </c>
      <c r="D258" t="s">
        <v>24</v>
      </c>
      <c r="E258" t="s">
        <v>28</v>
      </c>
      <c r="F258" s="7">
        <v>45180</v>
      </c>
      <c r="G258">
        <v>231</v>
      </c>
      <c r="H258">
        <v>91.51</v>
      </c>
      <c r="I258">
        <v>303.95</v>
      </c>
      <c r="J258">
        <v>21138.81</v>
      </c>
      <c r="K258">
        <f t="shared" si="3"/>
        <v>-49073.64</v>
      </c>
    </row>
    <row r="259" spans="1:11" x14ac:dyDescent="0.45">
      <c r="A259" t="s">
        <v>22</v>
      </c>
      <c r="B259" t="s">
        <v>50</v>
      </c>
      <c r="C259" t="s">
        <v>19</v>
      </c>
      <c r="D259" t="s">
        <v>24</v>
      </c>
      <c r="E259" t="s">
        <v>28</v>
      </c>
      <c r="F259" s="7">
        <v>45181</v>
      </c>
      <c r="G259">
        <v>215</v>
      </c>
      <c r="H259">
        <v>183.58</v>
      </c>
      <c r="I259">
        <v>271.99</v>
      </c>
      <c r="J259">
        <v>39469.699999999997</v>
      </c>
      <c r="K259">
        <f t="shared" si="3"/>
        <v>-19008.149999999998</v>
      </c>
    </row>
    <row r="260" spans="1:11" x14ac:dyDescent="0.45">
      <c r="A260" t="s">
        <v>11</v>
      </c>
      <c r="B260" t="s">
        <v>26</v>
      </c>
      <c r="C260" t="s">
        <v>27</v>
      </c>
      <c r="D260" t="s">
        <v>24</v>
      </c>
      <c r="E260" t="s">
        <v>15</v>
      </c>
      <c r="F260" s="7">
        <v>45182</v>
      </c>
      <c r="G260">
        <v>464</v>
      </c>
      <c r="H260">
        <v>453.42</v>
      </c>
      <c r="I260">
        <v>302.99</v>
      </c>
      <c r="J260">
        <v>210386.88</v>
      </c>
      <c r="K260">
        <f t="shared" si="3"/>
        <v>69799.520000000004</v>
      </c>
    </row>
    <row r="261" spans="1:11" x14ac:dyDescent="0.45">
      <c r="A261" t="s">
        <v>11</v>
      </c>
      <c r="B261" t="s">
        <v>50</v>
      </c>
      <c r="C261" t="s">
        <v>23</v>
      </c>
      <c r="D261" t="s">
        <v>14</v>
      </c>
      <c r="E261" t="s">
        <v>20</v>
      </c>
      <c r="F261" s="7">
        <v>45183</v>
      </c>
      <c r="G261">
        <v>282</v>
      </c>
      <c r="H261">
        <v>255.39500000000001</v>
      </c>
      <c r="I261">
        <v>337.1</v>
      </c>
      <c r="J261">
        <v>72021.39</v>
      </c>
      <c r="K261">
        <f t="shared" si="3"/>
        <v>-23040.810000000005</v>
      </c>
    </row>
    <row r="262" spans="1:11" x14ac:dyDescent="0.45">
      <c r="A262" t="s">
        <v>48</v>
      </c>
      <c r="B262" t="s">
        <v>31</v>
      </c>
      <c r="C262" t="s">
        <v>42</v>
      </c>
      <c r="D262" t="s">
        <v>14</v>
      </c>
      <c r="E262" t="s">
        <v>20</v>
      </c>
      <c r="F262" s="7">
        <v>45184</v>
      </c>
      <c r="G262">
        <v>391</v>
      </c>
      <c r="H262">
        <v>280.54000000000002</v>
      </c>
      <c r="I262">
        <v>189.19</v>
      </c>
      <c r="J262">
        <v>109691.14</v>
      </c>
      <c r="K262">
        <f t="shared" ref="K262:K325" si="4">(H262-I262)*G262</f>
        <v>35717.850000000006</v>
      </c>
    </row>
    <row r="263" spans="1:11" x14ac:dyDescent="0.45">
      <c r="A263" t="s">
        <v>17</v>
      </c>
      <c r="B263" t="s">
        <v>50</v>
      </c>
      <c r="C263" t="s">
        <v>13</v>
      </c>
      <c r="D263" t="s">
        <v>14</v>
      </c>
      <c r="E263" t="s">
        <v>15</v>
      </c>
      <c r="F263" s="7">
        <v>45185</v>
      </c>
      <c r="G263">
        <v>245</v>
      </c>
      <c r="H263">
        <v>131.54</v>
      </c>
      <c r="I263">
        <v>201.82</v>
      </c>
      <c r="J263">
        <v>32227.3</v>
      </c>
      <c r="K263">
        <f t="shared" si="4"/>
        <v>-17218.599999999999</v>
      </c>
    </row>
    <row r="264" spans="1:11" x14ac:dyDescent="0.45">
      <c r="A264" t="s">
        <v>11</v>
      </c>
      <c r="B264" t="s">
        <v>12</v>
      </c>
      <c r="C264" t="s">
        <v>27</v>
      </c>
      <c r="D264" t="s">
        <v>14</v>
      </c>
      <c r="E264" t="s">
        <v>15</v>
      </c>
      <c r="F264" s="7">
        <v>45186</v>
      </c>
      <c r="G264">
        <v>349</v>
      </c>
      <c r="H264">
        <v>154.52000000000001</v>
      </c>
      <c r="I264">
        <v>51.64</v>
      </c>
      <c r="J264">
        <v>53927.48</v>
      </c>
      <c r="K264">
        <f t="shared" si="4"/>
        <v>35905.120000000003</v>
      </c>
    </row>
    <row r="265" spans="1:11" x14ac:dyDescent="0.45">
      <c r="A265" t="s">
        <v>22</v>
      </c>
      <c r="B265" t="s">
        <v>18</v>
      </c>
      <c r="C265" t="s">
        <v>19</v>
      </c>
      <c r="D265" t="s">
        <v>24</v>
      </c>
      <c r="E265" t="s">
        <v>28</v>
      </c>
      <c r="F265" s="7">
        <v>45187</v>
      </c>
      <c r="G265">
        <v>237</v>
      </c>
      <c r="H265">
        <v>255.39500000000001</v>
      </c>
      <c r="I265">
        <v>155.38</v>
      </c>
      <c r="J265">
        <v>60528.615000000013</v>
      </c>
      <c r="K265">
        <f t="shared" si="4"/>
        <v>23703.555000000004</v>
      </c>
    </row>
    <row r="266" spans="1:11" x14ac:dyDescent="0.45">
      <c r="A266" t="s">
        <v>48</v>
      </c>
      <c r="B266" t="s">
        <v>50</v>
      </c>
      <c r="C266" t="s">
        <v>27</v>
      </c>
      <c r="D266" t="s">
        <v>24</v>
      </c>
      <c r="E266" t="s">
        <v>15</v>
      </c>
      <c r="F266" s="7">
        <v>45188</v>
      </c>
      <c r="G266">
        <v>18</v>
      </c>
      <c r="H266">
        <v>426.33</v>
      </c>
      <c r="I266">
        <v>258.06</v>
      </c>
      <c r="J266">
        <v>7673.94</v>
      </c>
      <c r="K266">
        <f t="shared" si="4"/>
        <v>3028.8599999999997</v>
      </c>
    </row>
    <row r="267" spans="1:11" x14ac:dyDescent="0.45">
      <c r="A267" t="s">
        <v>22</v>
      </c>
      <c r="B267" t="s">
        <v>50</v>
      </c>
      <c r="C267" t="s">
        <v>42</v>
      </c>
      <c r="D267" t="s">
        <v>24</v>
      </c>
      <c r="E267" t="s">
        <v>20</v>
      </c>
      <c r="F267" s="7">
        <v>45189</v>
      </c>
      <c r="G267">
        <v>175</v>
      </c>
      <c r="H267">
        <v>337.36</v>
      </c>
      <c r="I267">
        <v>312.60000000000002</v>
      </c>
      <c r="J267">
        <v>59038</v>
      </c>
      <c r="K267">
        <f t="shared" si="4"/>
        <v>4332.9999999999982</v>
      </c>
    </row>
    <row r="268" spans="1:11" x14ac:dyDescent="0.45">
      <c r="A268" t="s">
        <v>22</v>
      </c>
      <c r="B268" t="s">
        <v>18</v>
      </c>
      <c r="C268" t="s">
        <v>13</v>
      </c>
      <c r="D268" t="s">
        <v>14</v>
      </c>
      <c r="E268" t="s">
        <v>15</v>
      </c>
      <c r="F268" s="7">
        <v>45190</v>
      </c>
      <c r="G268">
        <v>441</v>
      </c>
      <c r="H268">
        <v>405.72</v>
      </c>
      <c r="I268">
        <v>88.45</v>
      </c>
      <c r="J268">
        <v>178922.52</v>
      </c>
      <c r="K268">
        <f t="shared" si="4"/>
        <v>139916.07</v>
      </c>
    </row>
    <row r="269" spans="1:11" x14ac:dyDescent="0.45">
      <c r="A269" t="s">
        <v>11</v>
      </c>
      <c r="B269" t="s">
        <v>12</v>
      </c>
      <c r="C269" t="s">
        <v>23</v>
      </c>
      <c r="D269" t="s">
        <v>24</v>
      </c>
      <c r="E269" t="s">
        <v>28</v>
      </c>
      <c r="F269" s="7">
        <v>45191</v>
      </c>
      <c r="G269">
        <v>453</v>
      </c>
      <c r="H269">
        <v>384.49</v>
      </c>
      <c r="I269">
        <v>56.85</v>
      </c>
      <c r="J269">
        <v>174173.97</v>
      </c>
      <c r="K269">
        <f t="shared" si="4"/>
        <v>148420.91999999998</v>
      </c>
    </row>
    <row r="270" spans="1:11" x14ac:dyDescent="0.45">
      <c r="A270" t="s">
        <v>48</v>
      </c>
      <c r="B270" t="s">
        <v>26</v>
      </c>
      <c r="C270" t="s">
        <v>27</v>
      </c>
      <c r="D270" t="s">
        <v>14</v>
      </c>
      <c r="E270" t="s">
        <v>28</v>
      </c>
      <c r="F270" s="7">
        <v>45192</v>
      </c>
      <c r="G270">
        <v>328</v>
      </c>
      <c r="H270">
        <v>79.099999999999994</v>
      </c>
      <c r="I270">
        <v>265.89</v>
      </c>
      <c r="J270">
        <v>25944.799999999999</v>
      </c>
      <c r="K270">
        <f t="shared" si="4"/>
        <v>-61267.119999999995</v>
      </c>
    </row>
    <row r="271" spans="1:11" x14ac:dyDescent="0.45">
      <c r="A271" t="s">
        <v>17</v>
      </c>
      <c r="B271" t="s">
        <v>50</v>
      </c>
      <c r="C271" t="s">
        <v>42</v>
      </c>
      <c r="D271" t="s">
        <v>24</v>
      </c>
      <c r="E271" t="s">
        <v>28</v>
      </c>
      <c r="F271" s="7">
        <v>45193</v>
      </c>
      <c r="G271">
        <v>223</v>
      </c>
      <c r="H271">
        <v>214.85</v>
      </c>
      <c r="I271">
        <v>2.75</v>
      </c>
      <c r="J271">
        <v>47911.55</v>
      </c>
      <c r="K271">
        <f t="shared" si="4"/>
        <v>47298.299999999996</v>
      </c>
    </row>
    <row r="272" spans="1:11" x14ac:dyDescent="0.45">
      <c r="A272" t="s">
        <v>17</v>
      </c>
      <c r="B272" t="s">
        <v>18</v>
      </c>
      <c r="C272" t="s">
        <v>13</v>
      </c>
      <c r="D272" t="s">
        <v>14</v>
      </c>
      <c r="E272" t="s">
        <v>28</v>
      </c>
      <c r="F272" s="7">
        <v>45194</v>
      </c>
      <c r="G272">
        <v>126</v>
      </c>
      <c r="H272">
        <v>80.73</v>
      </c>
      <c r="I272">
        <v>72.989999999999995</v>
      </c>
      <c r="J272">
        <v>10171.98</v>
      </c>
      <c r="K272">
        <f t="shared" si="4"/>
        <v>975.24000000000115</v>
      </c>
    </row>
    <row r="273" spans="1:11" x14ac:dyDescent="0.45">
      <c r="A273" t="s">
        <v>11</v>
      </c>
      <c r="B273" t="s">
        <v>31</v>
      </c>
      <c r="C273" t="s">
        <v>19</v>
      </c>
      <c r="D273" t="s">
        <v>14</v>
      </c>
      <c r="E273" t="s">
        <v>28</v>
      </c>
      <c r="F273" s="7">
        <v>45195</v>
      </c>
      <c r="G273">
        <v>395</v>
      </c>
      <c r="H273">
        <v>121.44</v>
      </c>
      <c r="I273">
        <v>13.57</v>
      </c>
      <c r="J273">
        <v>47968.800000000003</v>
      </c>
      <c r="K273">
        <f t="shared" si="4"/>
        <v>42608.65</v>
      </c>
    </row>
    <row r="274" spans="1:11" x14ac:dyDescent="0.45">
      <c r="A274" t="s">
        <v>11</v>
      </c>
      <c r="B274" t="s">
        <v>18</v>
      </c>
      <c r="C274" t="s">
        <v>27</v>
      </c>
      <c r="D274" t="s">
        <v>24</v>
      </c>
      <c r="E274" t="s">
        <v>15</v>
      </c>
      <c r="F274" s="7">
        <v>45196</v>
      </c>
      <c r="G274">
        <v>353</v>
      </c>
      <c r="H274">
        <v>435.28</v>
      </c>
      <c r="I274">
        <v>68.42</v>
      </c>
      <c r="J274">
        <v>153653.84</v>
      </c>
      <c r="K274">
        <f t="shared" si="4"/>
        <v>129501.57999999999</v>
      </c>
    </row>
    <row r="275" spans="1:11" x14ac:dyDescent="0.45">
      <c r="A275" t="s">
        <v>48</v>
      </c>
      <c r="B275" t="s">
        <v>31</v>
      </c>
      <c r="C275" t="s">
        <v>27</v>
      </c>
      <c r="D275" t="s">
        <v>24</v>
      </c>
      <c r="E275" t="s">
        <v>15</v>
      </c>
      <c r="F275" s="7">
        <v>45197</v>
      </c>
      <c r="G275">
        <v>81</v>
      </c>
      <c r="H275">
        <v>239.08</v>
      </c>
      <c r="I275">
        <v>74.17</v>
      </c>
      <c r="J275">
        <v>19365.48</v>
      </c>
      <c r="K275">
        <f t="shared" si="4"/>
        <v>13357.710000000003</v>
      </c>
    </row>
    <row r="276" spans="1:11" x14ac:dyDescent="0.45">
      <c r="A276" t="s">
        <v>17</v>
      </c>
      <c r="B276" t="s">
        <v>12</v>
      </c>
      <c r="C276" t="s">
        <v>23</v>
      </c>
      <c r="D276" t="s">
        <v>24</v>
      </c>
      <c r="E276" t="s">
        <v>15</v>
      </c>
      <c r="F276" s="7">
        <v>45198</v>
      </c>
      <c r="G276">
        <v>404</v>
      </c>
      <c r="H276">
        <v>270</v>
      </c>
      <c r="I276">
        <v>156.29</v>
      </c>
      <c r="J276">
        <v>109080</v>
      </c>
      <c r="K276">
        <f t="shared" si="4"/>
        <v>45938.840000000004</v>
      </c>
    </row>
    <row r="277" spans="1:11" x14ac:dyDescent="0.45">
      <c r="A277" t="s">
        <v>17</v>
      </c>
      <c r="B277" t="s">
        <v>26</v>
      </c>
      <c r="C277" t="s">
        <v>23</v>
      </c>
      <c r="D277" t="s">
        <v>24</v>
      </c>
      <c r="E277" t="s">
        <v>15</v>
      </c>
      <c r="F277" s="7">
        <v>45199</v>
      </c>
      <c r="G277">
        <v>73</v>
      </c>
      <c r="H277">
        <v>93.33</v>
      </c>
      <c r="I277">
        <v>162.13</v>
      </c>
      <c r="J277">
        <v>6813.09</v>
      </c>
      <c r="K277">
        <f t="shared" si="4"/>
        <v>-5022.3999999999996</v>
      </c>
    </row>
    <row r="278" spans="1:11" x14ac:dyDescent="0.45">
      <c r="A278" t="s">
        <v>17</v>
      </c>
      <c r="B278" t="s">
        <v>18</v>
      </c>
      <c r="C278" t="s">
        <v>13</v>
      </c>
      <c r="D278" t="s">
        <v>14</v>
      </c>
      <c r="E278" t="s">
        <v>28</v>
      </c>
      <c r="F278" s="7">
        <v>45200</v>
      </c>
      <c r="G278">
        <v>214</v>
      </c>
      <c r="H278">
        <v>159.57</v>
      </c>
      <c r="I278">
        <v>349.96</v>
      </c>
      <c r="J278">
        <v>34147.980000000003</v>
      </c>
      <c r="K278">
        <f t="shared" si="4"/>
        <v>-40743.46</v>
      </c>
    </row>
    <row r="279" spans="1:11" x14ac:dyDescent="0.45">
      <c r="A279" t="s">
        <v>22</v>
      </c>
      <c r="B279" t="s">
        <v>50</v>
      </c>
      <c r="C279" t="s">
        <v>13</v>
      </c>
      <c r="D279" t="s">
        <v>24</v>
      </c>
      <c r="E279" t="s">
        <v>20</v>
      </c>
      <c r="F279" s="7">
        <v>45201</v>
      </c>
      <c r="G279">
        <v>218</v>
      </c>
      <c r="H279">
        <v>118.97</v>
      </c>
      <c r="I279">
        <v>205.02</v>
      </c>
      <c r="J279">
        <v>25935.46</v>
      </c>
      <c r="K279">
        <f t="shared" si="4"/>
        <v>-18758.900000000001</v>
      </c>
    </row>
    <row r="280" spans="1:11" x14ac:dyDescent="0.45">
      <c r="A280" t="s">
        <v>17</v>
      </c>
      <c r="B280" t="s">
        <v>12</v>
      </c>
      <c r="C280" t="s">
        <v>42</v>
      </c>
      <c r="D280" t="s">
        <v>24</v>
      </c>
      <c r="E280" t="s">
        <v>15</v>
      </c>
      <c r="F280" s="7">
        <v>45202</v>
      </c>
      <c r="G280">
        <v>81</v>
      </c>
      <c r="H280">
        <v>107.06</v>
      </c>
      <c r="I280">
        <v>289.92</v>
      </c>
      <c r="J280">
        <v>8671.86</v>
      </c>
      <c r="K280">
        <f t="shared" si="4"/>
        <v>-14811.660000000002</v>
      </c>
    </row>
    <row r="281" spans="1:11" x14ac:dyDescent="0.45">
      <c r="A281" t="s">
        <v>22</v>
      </c>
      <c r="B281" t="s">
        <v>18</v>
      </c>
      <c r="C281" t="s">
        <v>42</v>
      </c>
      <c r="D281" t="s">
        <v>24</v>
      </c>
      <c r="E281" t="s">
        <v>20</v>
      </c>
      <c r="F281" s="7">
        <v>45203</v>
      </c>
      <c r="G281">
        <v>286</v>
      </c>
      <c r="H281">
        <v>320.79000000000002</v>
      </c>
      <c r="I281">
        <v>43.45</v>
      </c>
      <c r="J281">
        <v>91745.94</v>
      </c>
      <c r="K281">
        <f t="shared" si="4"/>
        <v>79319.240000000005</v>
      </c>
    </row>
    <row r="282" spans="1:11" x14ac:dyDescent="0.45">
      <c r="A282" t="s">
        <v>48</v>
      </c>
      <c r="B282" t="s">
        <v>50</v>
      </c>
      <c r="C282" t="s">
        <v>13</v>
      </c>
      <c r="D282" t="s">
        <v>14</v>
      </c>
      <c r="E282" t="s">
        <v>15</v>
      </c>
      <c r="F282" s="7">
        <v>45204</v>
      </c>
      <c r="G282">
        <v>283</v>
      </c>
      <c r="H282">
        <v>132.16</v>
      </c>
      <c r="I282">
        <v>91.72</v>
      </c>
      <c r="J282">
        <v>37401.279999999999</v>
      </c>
      <c r="K282">
        <f t="shared" si="4"/>
        <v>11444.519999999999</v>
      </c>
    </row>
    <row r="283" spans="1:11" x14ac:dyDescent="0.45">
      <c r="A283" t="s">
        <v>22</v>
      </c>
      <c r="B283" t="s">
        <v>18</v>
      </c>
      <c r="C283" t="s">
        <v>13</v>
      </c>
      <c r="D283" t="s">
        <v>14</v>
      </c>
      <c r="E283" t="s">
        <v>15</v>
      </c>
      <c r="F283" s="7">
        <v>45205</v>
      </c>
      <c r="G283">
        <v>487</v>
      </c>
      <c r="H283">
        <v>317.85000000000002</v>
      </c>
      <c r="I283">
        <v>281.77</v>
      </c>
      <c r="J283">
        <v>154792.95000000001</v>
      </c>
      <c r="K283">
        <f t="shared" si="4"/>
        <v>17570.960000000021</v>
      </c>
    </row>
    <row r="284" spans="1:11" x14ac:dyDescent="0.45">
      <c r="A284" t="s">
        <v>48</v>
      </c>
      <c r="B284" t="s">
        <v>31</v>
      </c>
      <c r="C284" t="s">
        <v>19</v>
      </c>
      <c r="D284" t="s">
        <v>24</v>
      </c>
      <c r="E284" t="s">
        <v>20</v>
      </c>
      <c r="F284" s="7">
        <v>45206</v>
      </c>
      <c r="G284">
        <v>329</v>
      </c>
      <c r="H284">
        <v>33.94</v>
      </c>
      <c r="I284">
        <v>23.02</v>
      </c>
      <c r="J284">
        <v>11166.26</v>
      </c>
      <c r="K284">
        <f t="shared" si="4"/>
        <v>3592.6799999999994</v>
      </c>
    </row>
    <row r="285" spans="1:11" x14ac:dyDescent="0.45">
      <c r="A285" t="s">
        <v>17</v>
      </c>
      <c r="B285" t="s">
        <v>18</v>
      </c>
      <c r="C285" t="s">
        <v>23</v>
      </c>
      <c r="D285" t="s">
        <v>14</v>
      </c>
      <c r="E285" t="s">
        <v>28</v>
      </c>
      <c r="F285" s="7">
        <v>45207</v>
      </c>
      <c r="G285">
        <v>347</v>
      </c>
      <c r="H285">
        <v>75.180000000000007</v>
      </c>
      <c r="I285">
        <v>195.67</v>
      </c>
      <c r="J285">
        <v>26087.46</v>
      </c>
      <c r="K285">
        <f t="shared" si="4"/>
        <v>-41810.029999999992</v>
      </c>
    </row>
    <row r="286" spans="1:11" x14ac:dyDescent="0.45">
      <c r="A286" t="s">
        <v>17</v>
      </c>
      <c r="B286" t="s">
        <v>18</v>
      </c>
      <c r="C286" t="s">
        <v>42</v>
      </c>
      <c r="D286" t="s">
        <v>24</v>
      </c>
      <c r="E286" t="s">
        <v>15</v>
      </c>
      <c r="F286" s="7">
        <v>45208</v>
      </c>
      <c r="G286">
        <v>375</v>
      </c>
      <c r="H286">
        <v>140.9</v>
      </c>
      <c r="I286">
        <v>240.55</v>
      </c>
      <c r="J286">
        <v>52837.5</v>
      </c>
      <c r="K286">
        <f t="shared" si="4"/>
        <v>-37368.75</v>
      </c>
    </row>
    <row r="287" spans="1:11" x14ac:dyDescent="0.45">
      <c r="A287" t="s">
        <v>48</v>
      </c>
      <c r="B287" t="s">
        <v>18</v>
      </c>
      <c r="C287" t="s">
        <v>23</v>
      </c>
      <c r="D287" t="s">
        <v>14</v>
      </c>
      <c r="E287" t="s">
        <v>15</v>
      </c>
      <c r="F287" s="7">
        <v>45209</v>
      </c>
      <c r="G287">
        <v>104</v>
      </c>
      <c r="H287">
        <v>300.54000000000002</v>
      </c>
      <c r="I287">
        <v>241.65</v>
      </c>
      <c r="J287">
        <v>31256.16</v>
      </c>
      <c r="K287">
        <f t="shared" si="4"/>
        <v>6124.5600000000013</v>
      </c>
    </row>
    <row r="288" spans="1:11" x14ac:dyDescent="0.45">
      <c r="A288" t="s">
        <v>11</v>
      </c>
      <c r="B288" t="s">
        <v>12</v>
      </c>
      <c r="C288" t="s">
        <v>13</v>
      </c>
      <c r="D288" t="s">
        <v>14</v>
      </c>
      <c r="E288" t="s">
        <v>15</v>
      </c>
      <c r="F288" s="7">
        <v>45210</v>
      </c>
      <c r="G288">
        <v>175</v>
      </c>
      <c r="H288">
        <v>339.54</v>
      </c>
      <c r="I288">
        <v>11.13</v>
      </c>
      <c r="J288">
        <v>59419.5</v>
      </c>
      <c r="K288">
        <f t="shared" si="4"/>
        <v>57471.750000000007</v>
      </c>
    </row>
    <row r="289" spans="1:11" x14ac:dyDescent="0.45">
      <c r="A289" t="s">
        <v>48</v>
      </c>
      <c r="B289" t="s">
        <v>18</v>
      </c>
      <c r="C289" t="s">
        <v>13</v>
      </c>
      <c r="D289" t="s">
        <v>14</v>
      </c>
      <c r="E289" t="s">
        <v>20</v>
      </c>
      <c r="F289" s="7">
        <v>45211</v>
      </c>
      <c r="G289">
        <v>41</v>
      </c>
      <c r="H289">
        <v>224.14</v>
      </c>
      <c r="I289">
        <v>130.19999999999999</v>
      </c>
      <c r="J289">
        <v>9189.74</v>
      </c>
      <c r="K289">
        <f t="shared" si="4"/>
        <v>3851.54</v>
      </c>
    </row>
    <row r="290" spans="1:11" x14ac:dyDescent="0.45">
      <c r="A290" t="s">
        <v>11</v>
      </c>
      <c r="B290" t="s">
        <v>50</v>
      </c>
      <c r="C290" t="s">
        <v>19</v>
      </c>
      <c r="D290" t="s">
        <v>14</v>
      </c>
      <c r="E290" t="s">
        <v>28</v>
      </c>
      <c r="F290" s="7">
        <v>45212</v>
      </c>
      <c r="G290">
        <v>20</v>
      </c>
      <c r="H290">
        <v>225.67</v>
      </c>
      <c r="I290">
        <v>255.32</v>
      </c>
      <c r="J290">
        <v>4513.3999999999996</v>
      </c>
      <c r="K290">
        <f t="shared" si="4"/>
        <v>-593.00000000000011</v>
      </c>
    </row>
    <row r="291" spans="1:11" x14ac:dyDescent="0.45">
      <c r="A291" t="s">
        <v>22</v>
      </c>
      <c r="B291" t="s">
        <v>31</v>
      </c>
      <c r="C291" t="s">
        <v>27</v>
      </c>
      <c r="D291" t="s">
        <v>24</v>
      </c>
      <c r="E291" t="s">
        <v>20</v>
      </c>
      <c r="F291" s="7">
        <v>45213</v>
      </c>
      <c r="G291">
        <v>310</v>
      </c>
      <c r="H291">
        <v>363.64</v>
      </c>
      <c r="I291">
        <v>61.3</v>
      </c>
      <c r="J291">
        <v>112728.4</v>
      </c>
      <c r="K291">
        <f t="shared" si="4"/>
        <v>93725.4</v>
      </c>
    </row>
    <row r="292" spans="1:11" x14ac:dyDescent="0.45">
      <c r="A292" t="s">
        <v>22</v>
      </c>
      <c r="B292" t="s">
        <v>31</v>
      </c>
      <c r="C292" t="s">
        <v>19</v>
      </c>
      <c r="D292" t="s">
        <v>24</v>
      </c>
      <c r="E292" t="s">
        <v>20</v>
      </c>
      <c r="F292" s="7">
        <v>45214</v>
      </c>
      <c r="G292">
        <v>226</v>
      </c>
      <c r="H292">
        <v>255.39500000000001</v>
      </c>
      <c r="I292">
        <v>278.77999999999997</v>
      </c>
      <c r="J292">
        <v>57719.27</v>
      </c>
      <c r="K292">
        <f t="shared" si="4"/>
        <v>-5285.0099999999911</v>
      </c>
    </row>
    <row r="293" spans="1:11" x14ac:dyDescent="0.45">
      <c r="A293" t="s">
        <v>22</v>
      </c>
      <c r="B293" t="s">
        <v>18</v>
      </c>
      <c r="C293" t="s">
        <v>19</v>
      </c>
      <c r="D293" t="s">
        <v>24</v>
      </c>
      <c r="E293" t="s">
        <v>28</v>
      </c>
      <c r="F293" s="7">
        <v>45215</v>
      </c>
      <c r="G293">
        <v>248.5</v>
      </c>
      <c r="H293">
        <v>173.84</v>
      </c>
      <c r="I293">
        <v>298.88</v>
      </c>
      <c r="J293">
        <v>43199.24</v>
      </c>
      <c r="K293">
        <f t="shared" si="4"/>
        <v>-31072.44</v>
      </c>
    </row>
    <row r="294" spans="1:11" x14ac:dyDescent="0.45">
      <c r="A294" t="s">
        <v>17</v>
      </c>
      <c r="B294" t="s">
        <v>12</v>
      </c>
      <c r="C294" t="s">
        <v>23</v>
      </c>
      <c r="D294" t="s">
        <v>14</v>
      </c>
      <c r="E294" t="s">
        <v>20</v>
      </c>
      <c r="F294" s="7">
        <v>45216</v>
      </c>
      <c r="G294">
        <v>111</v>
      </c>
      <c r="H294">
        <v>410.26</v>
      </c>
      <c r="I294">
        <v>392.82</v>
      </c>
      <c r="J294">
        <v>45538.86</v>
      </c>
      <c r="K294">
        <f t="shared" si="4"/>
        <v>1935.8399999999997</v>
      </c>
    </row>
    <row r="295" spans="1:11" x14ac:dyDescent="0.45">
      <c r="A295" t="s">
        <v>22</v>
      </c>
      <c r="B295" t="s">
        <v>12</v>
      </c>
      <c r="C295" t="s">
        <v>19</v>
      </c>
      <c r="D295" t="s">
        <v>24</v>
      </c>
      <c r="E295" t="s">
        <v>28</v>
      </c>
      <c r="F295" s="7">
        <v>45217</v>
      </c>
      <c r="G295">
        <v>434</v>
      </c>
      <c r="H295">
        <v>303.58999999999997</v>
      </c>
      <c r="I295">
        <v>85.52</v>
      </c>
      <c r="J295">
        <v>131758.06</v>
      </c>
      <c r="K295">
        <f t="shared" si="4"/>
        <v>94642.37999999999</v>
      </c>
    </row>
    <row r="296" spans="1:11" x14ac:dyDescent="0.45">
      <c r="A296" t="s">
        <v>11</v>
      </c>
      <c r="B296" t="s">
        <v>50</v>
      </c>
      <c r="C296" t="s">
        <v>42</v>
      </c>
      <c r="D296" t="s">
        <v>24</v>
      </c>
      <c r="E296" t="s">
        <v>15</v>
      </c>
      <c r="F296" s="7">
        <v>45218</v>
      </c>
      <c r="G296">
        <v>401</v>
      </c>
      <c r="H296">
        <v>171.93</v>
      </c>
      <c r="I296">
        <v>330.4</v>
      </c>
      <c r="J296">
        <v>68943.930000000008</v>
      </c>
      <c r="K296">
        <f t="shared" si="4"/>
        <v>-63546.469999999987</v>
      </c>
    </row>
    <row r="297" spans="1:11" x14ac:dyDescent="0.45">
      <c r="A297" t="s">
        <v>22</v>
      </c>
      <c r="B297" t="s">
        <v>18</v>
      </c>
      <c r="C297" t="s">
        <v>23</v>
      </c>
      <c r="D297" t="s">
        <v>24</v>
      </c>
      <c r="E297" t="s">
        <v>28</v>
      </c>
      <c r="F297" s="7">
        <v>45219</v>
      </c>
      <c r="G297">
        <v>276</v>
      </c>
      <c r="H297">
        <v>453.23</v>
      </c>
      <c r="I297">
        <v>209.08</v>
      </c>
      <c r="J297">
        <v>125091.48</v>
      </c>
      <c r="K297">
        <f t="shared" si="4"/>
        <v>67385.400000000009</v>
      </c>
    </row>
    <row r="298" spans="1:11" x14ac:dyDescent="0.45">
      <c r="A298" t="s">
        <v>48</v>
      </c>
      <c r="B298" t="s">
        <v>31</v>
      </c>
      <c r="C298" t="s">
        <v>42</v>
      </c>
      <c r="D298" t="s">
        <v>14</v>
      </c>
      <c r="E298" t="s">
        <v>15</v>
      </c>
      <c r="F298" s="7">
        <v>45220</v>
      </c>
      <c r="G298">
        <v>248.5</v>
      </c>
      <c r="H298">
        <v>387.45</v>
      </c>
      <c r="I298">
        <v>150.63999999999999</v>
      </c>
      <c r="J298">
        <v>96281.324999999997</v>
      </c>
      <c r="K298">
        <f t="shared" si="4"/>
        <v>58847.285000000003</v>
      </c>
    </row>
    <row r="299" spans="1:11" x14ac:dyDescent="0.45">
      <c r="A299" t="s">
        <v>48</v>
      </c>
      <c r="B299" t="s">
        <v>12</v>
      </c>
      <c r="C299" t="s">
        <v>27</v>
      </c>
      <c r="D299" t="s">
        <v>14</v>
      </c>
      <c r="E299" t="s">
        <v>20</v>
      </c>
      <c r="F299" s="7">
        <v>45221</v>
      </c>
      <c r="G299">
        <v>188</v>
      </c>
      <c r="H299">
        <v>136.12</v>
      </c>
      <c r="I299">
        <v>50.71</v>
      </c>
      <c r="J299">
        <v>25590.560000000001</v>
      </c>
      <c r="K299">
        <f t="shared" si="4"/>
        <v>16057.08</v>
      </c>
    </row>
    <row r="300" spans="1:11" x14ac:dyDescent="0.45">
      <c r="A300" t="s">
        <v>17</v>
      </c>
      <c r="B300" t="s">
        <v>18</v>
      </c>
      <c r="C300" t="s">
        <v>23</v>
      </c>
      <c r="D300" t="s">
        <v>14</v>
      </c>
      <c r="E300" t="s">
        <v>20</v>
      </c>
      <c r="F300" s="7">
        <v>45222</v>
      </c>
      <c r="G300">
        <v>97</v>
      </c>
      <c r="H300">
        <v>324.42</v>
      </c>
      <c r="I300">
        <v>294.73</v>
      </c>
      <c r="J300">
        <v>31468.74</v>
      </c>
      <c r="K300">
        <f t="shared" si="4"/>
        <v>2879.93</v>
      </c>
    </row>
    <row r="301" spans="1:11" x14ac:dyDescent="0.45">
      <c r="A301" t="s">
        <v>48</v>
      </c>
      <c r="B301" t="s">
        <v>12</v>
      </c>
      <c r="C301" t="s">
        <v>27</v>
      </c>
      <c r="D301" t="s">
        <v>24</v>
      </c>
      <c r="E301" t="s">
        <v>15</v>
      </c>
      <c r="F301" s="7">
        <v>45223</v>
      </c>
      <c r="G301">
        <v>50</v>
      </c>
      <c r="H301">
        <v>299.89999999999998</v>
      </c>
      <c r="I301">
        <v>95.87</v>
      </c>
      <c r="J301">
        <v>14995</v>
      </c>
      <c r="K301">
        <f t="shared" si="4"/>
        <v>10201.499999999998</v>
      </c>
    </row>
    <row r="302" spans="1:11" x14ac:dyDescent="0.45">
      <c r="A302" t="s">
        <v>11</v>
      </c>
      <c r="B302" t="s">
        <v>12</v>
      </c>
      <c r="C302" t="s">
        <v>23</v>
      </c>
      <c r="D302" t="s">
        <v>24</v>
      </c>
      <c r="E302" t="s">
        <v>20</v>
      </c>
      <c r="F302" s="7">
        <v>45224</v>
      </c>
      <c r="G302">
        <v>410</v>
      </c>
      <c r="H302">
        <v>203.59</v>
      </c>
      <c r="I302">
        <v>149.83000000000001</v>
      </c>
      <c r="J302">
        <v>83471.899999999994</v>
      </c>
      <c r="K302">
        <f t="shared" si="4"/>
        <v>22041.599999999995</v>
      </c>
    </row>
    <row r="303" spans="1:11" x14ac:dyDescent="0.45">
      <c r="A303" t="s">
        <v>22</v>
      </c>
      <c r="B303" t="s">
        <v>31</v>
      </c>
      <c r="C303" t="s">
        <v>13</v>
      </c>
      <c r="D303" t="s">
        <v>24</v>
      </c>
      <c r="E303" t="s">
        <v>28</v>
      </c>
      <c r="F303" s="7">
        <v>45225</v>
      </c>
      <c r="G303">
        <v>85</v>
      </c>
      <c r="H303">
        <v>186.64</v>
      </c>
      <c r="I303">
        <v>26.89</v>
      </c>
      <c r="J303">
        <v>15864.4</v>
      </c>
      <c r="K303">
        <f t="shared" si="4"/>
        <v>13578.75</v>
      </c>
    </row>
    <row r="304" spans="1:11" x14ac:dyDescent="0.45">
      <c r="A304" t="s">
        <v>17</v>
      </c>
      <c r="B304" t="s">
        <v>26</v>
      </c>
      <c r="C304" t="s">
        <v>19</v>
      </c>
      <c r="D304" t="s">
        <v>14</v>
      </c>
      <c r="E304" t="s">
        <v>15</v>
      </c>
      <c r="F304" s="7">
        <v>45226</v>
      </c>
      <c r="G304">
        <v>386</v>
      </c>
      <c r="H304">
        <v>175.06</v>
      </c>
      <c r="I304">
        <v>320.94</v>
      </c>
      <c r="J304">
        <v>67573.16</v>
      </c>
      <c r="K304">
        <f t="shared" si="4"/>
        <v>-56309.68</v>
      </c>
    </row>
    <row r="305" spans="1:11" x14ac:dyDescent="0.45">
      <c r="A305" t="s">
        <v>22</v>
      </c>
      <c r="B305" t="s">
        <v>50</v>
      </c>
      <c r="C305" t="s">
        <v>13</v>
      </c>
      <c r="D305" t="s">
        <v>14</v>
      </c>
      <c r="E305" t="s">
        <v>20</v>
      </c>
      <c r="F305" s="7">
        <v>45227</v>
      </c>
      <c r="G305">
        <v>55</v>
      </c>
      <c r="H305">
        <v>310.49</v>
      </c>
      <c r="I305">
        <v>307.10000000000002</v>
      </c>
      <c r="J305">
        <v>17076.95</v>
      </c>
      <c r="K305">
        <f t="shared" si="4"/>
        <v>186.44999999999925</v>
      </c>
    </row>
    <row r="306" spans="1:11" x14ac:dyDescent="0.45">
      <c r="A306" t="s">
        <v>22</v>
      </c>
      <c r="B306" t="s">
        <v>50</v>
      </c>
      <c r="C306" t="s">
        <v>27</v>
      </c>
      <c r="D306" t="s">
        <v>24</v>
      </c>
      <c r="E306" t="s">
        <v>15</v>
      </c>
      <c r="F306" s="7">
        <v>45228</v>
      </c>
      <c r="G306">
        <v>169</v>
      </c>
      <c r="H306">
        <v>223.99</v>
      </c>
      <c r="I306">
        <v>293.98</v>
      </c>
      <c r="J306">
        <v>37854.31</v>
      </c>
      <c r="K306">
        <f t="shared" si="4"/>
        <v>-11828.310000000001</v>
      </c>
    </row>
    <row r="307" spans="1:11" x14ac:dyDescent="0.45">
      <c r="A307" t="s">
        <v>11</v>
      </c>
      <c r="B307" t="s">
        <v>31</v>
      </c>
      <c r="C307" t="s">
        <v>19</v>
      </c>
      <c r="D307" t="s">
        <v>14</v>
      </c>
      <c r="E307" t="s">
        <v>28</v>
      </c>
      <c r="F307" s="7">
        <v>45229</v>
      </c>
      <c r="G307">
        <v>472</v>
      </c>
      <c r="H307">
        <v>416.77</v>
      </c>
      <c r="I307">
        <v>121.18</v>
      </c>
      <c r="J307">
        <v>196715.44</v>
      </c>
      <c r="K307">
        <f t="shared" si="4"/>
        <v>139518.47999999998</v>
      </c>
    </row>
    <row r="308" spans="1:11" x14ac:dyDescent="0.45">
      <c r="A308" t="s">
        <v>48</v>
      </c>
      <c r="B308" t="s">
        <v>12</v>
      </c>
      <c r="C308" t="s">
        <v>23</v>
      </c>
      <c r="D308" t="s">
        <v>14</v>
      </c>
      <c r="E308" t="s">
        <v>28</v>
      </c>
      <c r="F308" s="7">
        <v>45230</v>
      </c>
      <c r="G308">
        <v>89</v>
      </c>
      <c r="H308">
        <v>336.45</v>
      </c>
      <c r="I308">
        <v>71.05</v>
      </c>
      <c r="J308">
        <v>29944.05</v>
      </c>
      <c r="K308">
        <f t="shared" si="4"/>
        <v>23620.6</v>
      </c>
    </row>
    <row r="309" spans="1:11" x14ac:dyDescent="0.45">
      <c r="A309" t="s">
        <v>48</v>
      </c>
      <c r="B309" t="s">
        <v>18</v>
      </c>
      <c r="C309" t="s">
        <v>19</v>
      </c>
      <c r="D309" t="s">
        <v>14</v>
      </c>
      <c r="E309" t="s">
        <v>20</v>
      </c>
      <c r="F309" s="7">
        <v>45231</v>
      </c>
      <c r="G309">
        <v>319</v>
      </c>
      <c r="H309">
        <v>39.619999999999997</v>
      </c>
      <c r="I309">
        <v>255.75</v>
      </c>
      <c r="J309">
        <v>12638.78</v>
      </c>
      <c r="K309">
        <f t="shared" si="4"/>
        <v>-68945.47</v>
      </c>
    </row>
    <row r="310" spans="1:11" x14ac:dyDescent="0.45">
      <c r="A310" t="s">
        <v>22</v>
      </c>
      <c r="B310" t="s">
        <v>12</v>
      </c>
      <c r="C310" t="s">
        <v>13</v>
      </c>
      <c r="D310" t="s">
        <v>14</v>
      </c>
      <c r="E310" t="s">
        <v>28</v>
      </c>
      <c r="F310" s="7">
        <v>45232</v>
      </c>
      <c r="G310">
        <v>95</v>
      </c>
      <c r="H310">
        <v>321.88</v>
      </c>
      <c r="I310">
        <v>199.47</v>
      </c>
      <c r="J310">
        <v>30578.6</v>
      </c>
      <c r="K310">
        <f t="shared" si="4"/>
        <v>11628.949999999999</v>
      </c>
    </row>
    <row r="311" spans="1:11" x14ac:dyDescent="0.45">
      <c r="A311" t="s">
        <v>17</v>
      </c>
      <c r="B311" t="s">
        <v>31</v>
      </c>
      <c r="C311" t="s">
        <v>13</v>
      </c>
      <c r="D311" t="s">
        <v>24</v>
      </c>
      <c r="E311" t="s">
        <v>15</v>
      </c>
      <c r="F311" s="7">
        <v>45233</v>
      </c>
      <c r="G311">
        <v>101</v>
      </c>
      <c r="H311">
        <v>139.22</v>
      </c>
      <c r="I311">
        <v>72.94</v>
      </c>
      <c r="J311">
        <v>14061.22</v>
      </c>
      <c r="K311">
        <f t="shared" si="4"/>
        <v>6694.28</v>
      </c>
    </row>
    <row r="312" spans="1:11" x14ac:dyDescent="0.45">
      <c r="A312" t="s">
        <v>48</v>
      </c>
      <c r="B312" t="s">
        <v>50</v>
      </c>
      <c r="C312" t="s">
        <v>13</v>
      </c>
      <c r="D312" t="s">
        <v>14</v>
      </c>
      <c r="E312" t="s">
        <v>28</v>
      </c>
      <c r="F312" s="7">
        <v>45234</v>
      </c>
      <c r="G312">
        <v>157</v>
      </c>
      <c r="H312">
        <v>255.39500000000001</v>
      </c>
      <c r="I312">
        <v>274.99</v>
      </c>
      <c r="J312">
        <v>40097.014999999999</v>
      </c>
      <c r="K312">
        <f t="shared" si="4"/>
        <v>-3076.415</v>
      </c>
    </row>
    <row r="313" spans="1:11" x14ac:dyDescent="0.45">
      <c r="A313" t="s">
        <v>17</v>
      </c>
      <c r="B313" t="s">
        <v>12</v>
      </c>
      <c r="C313" t="s">
        <v>19</v>
      </c>
      <c r="D313" t="s">
        <v>14</v>
      </c>
      <c r="E313" t="s">
        <v>15</v>
      </c>
      <c r="F313" s="7">
        <v>45235</v>
      </c>
      <c r="G313">
        <v>170</v>
      </c>
      <c r="H313">
        <v>341.67</v>
      </c>
      <c r="I313">
        <v>396.47</v>
      </c>
      <c r="J313">
        <v>58083.9</v>
      </c>
      <c r="K313">
        <f t="shared" si="4"/>
        <v>-9316.0000000000018</v>
      </c>
    </row>
    <row r="314" spans="1:11" x14ac:dyDescent="0.45">
      <c r="A314" t="s">
        <v>48</v>
      </c>
      <c r="B314" t="s">
        <v>50</v>
      </c>
      <c r="C314" t="s">
        <v>42</v>
      </c>
      <c r="D314" t="s">
        <v>14</v>
      </c>
      <c r="E314" t="s">
        <v>15</v>
      </c>
      <c r="F314" s="7">
        <v>45236</v>
      </c>
      <c r="G314">
        <v>211</v>
      </c>
      <c r="H314">
        <v>119.26</v>
      </c>
      <c r="I314">
        <v>299.39</v>
      </c>
      <c r="J314">
        <v>25163.86</v>
      </c>
      <c r="K314">
        <f t="shared" si="4"/>
        <v>-38007.43</v>
      </c>
    </row>
    <row r="315" spans="1:11" x14ac:dyDescent="0.45">
      <c r="A315" t="s">
        <v>17</v>
      </c>
      <c r="B315" t="s">
        <v>18</v>
      </c>
      <c r="C315" t="s">
        <v>27</v>
      </c>
      <c r="D315" t="s">
        <v>14</v>
      </c>
      <c r="E315" t="s">
        <v>28</v>
      </c>
      <c r="F315" s="7">
        <v>45237</v>
      </c>
      <c r="G315">
        <v>433</v>
      </c>
      <c r="H315">
        <v>231.15</v>
      </c>
      <c r="I315">
        <v>296.51</v>
      </c>
      <c r="J315">
        <v>100087.95</v>
      </c>
      <c r="K315">
        <f t="shared" si="4"/>
        <v>-28300.879999999994</v>
      </c>
    </row>
    <row r="316" spans="1:11" x14ac:dyDescent="0.45">
      <c r="A316" t="s">
        <v>11</v>
      </c>
      <c r="B316" t="s">
        <v>50</v>
      </c>
      <c r="C316" t="s">
        <v>13</v>
      </c>
      <c r="D316" t="s">
        <v>24</v>
      </c>
      <c r="E316" t="s">
        <v>20</v>
      </c>
      <c r="F316" s="7">
        <v>45238</v>
      </c>
      <c r="G316">
        <v>425</v>
      </c>
      <c r="H316">
        <v>99.21</v>
      </c>
      <c r="I316">
        <v>380.22</v>
      </c>
      <c r="J316">
        <v>42164.25</v>
      </c>
      <c r="K316">
        <f t="shared" si="4"/>
        <v>-119429.25000000001</v>
      </c>
    </row>
    <row r="317" spans="1:11" x14ac:dyDescent="0.45">
      <c r="A317" t="s">
        <v>17</v>
      </c>
      <c r="B317" t="s">
        <v>50</v>
      </c>
      <c r="C317" t="s">
        <v>23</v>
      </c>
      <c r="D317" t="s">
        <v>24</v>
      </c>
      <c r="E317" t="s">
        <v>28</v>
      </c>
      <c r="F317" s="7">
        <v>45239</v>
      </c>
      <c r="G317">
        <v>251</v>
      </c>
      <c r="H317">
        <v>30.91</v>
      </c>
      <c r="I317">
        <v>82.77</v>
      </c>
      <c r="J317">
        <v>7758.41</v>
      </c>
      <c r="K317">
        <f t="shared" si="4"/>
        <v>-13016.86</v>
      </c>
    </row>
    <row r="318" spans="1:11" x14ac:dyDescent="0.45">
      <c r="A318" t="s">
        <v>11</v>
      </c>
      <c r="B318" t="s">
        <v>26</v>
      </c>
      <c r="C318" t="s">
        <v>19</v>
      </c>
      <c r="D318" t="s">
        <v>14</v>
      </c>
      <c r="E318" t="s">
        <v>15</v>
      </c>
      <c r="F318" s="7">
        <v>45240</v>
      </c>
      <c r="G318">
        <v>248.5</v>
      </c>
      <c r="H318">
        <v>192.35</v>
      </c>
      <c r="I318">
        <v>227.09</v>
      </c>
      <c r="J318">
        <v>47798.974999999999</v>
      </c>
      <c r="K318">
        <f t="shared" si="4"/>
        <v>-8632.8900000000031</v>
      </c>
    </row>
    <row r="319" spans="1:11" x14ac:dyDescent="0.45">
      <c r="A319" t="s">
        <v>11</v>
      </c>
      <c r="B319" t="s">
        <v>26</v>
      </c>
      <c r="C319" t="s">
        <v>13</v>
      </c>
      <c r="D319" t="s">
        <v>14</v>
      </c>
      <c r="E319" t="s">
        <v>15</v>
      </c>
      <c r="F319" s="7">
        <v>45241</v>
      </c>
      <c r="G319">
        <v>11</v>
      </c>
      <c r="H319">
        <v>184.66</v>
      </c>
      <c r="I319">
        <v>391.9</v>
      </c>
      <c r="J319">
        <v>2031.26</v>
      </c>
      <c r="K319">
        <f t="shared" si="4"/>
        <v>-2279.64</v>
      </c>
    </row>
    <row r="320" spans="1:11" x14ac:dyDescent="0.45">
      <c r="A320" t="s">
        <v>17</v>
      </c>
      <c r="B320" t="s">
        <v>26</v>
      </c>
      <c r="C320" t="s">
        <v>23</v>
      </c>
      <c r="D320" t="s">
        <v>14</v>
      </c>
      <c r="E320" t="s">
        <v>28</v>
      </c>
      <c r="F320" s="7">
        <v>45242</v>
      </c>
      <c r="G320">
        <v>234</v>
      </c>
      <c r="H320">
        <v>497.76</v>
      </c>
      <c r="I320">
        <v>67.790000000000006</v>
      </c>
      <c r="J320">
        <v>116475.84</v>
      </c>
      <c r="K320">
        <f t="shared" si="4"/>
        <v>100612.98</v>
      </c>
    </row>
    <row r="321" spans="1:11" x14ac:dyDescent="0.45">
      <c r="A321" t="s">
        <v>11</v>
      </c>
      <c r="B321" t="s">
        <v>50</v>
      </c>
      <c r="C321" t="s">
        <v>23</v>
      </c>
      <c r="D321" t="s">
        <v>14</v>
      </c>
      <c r="E321" t="s">
        <v>20</v>
      </c>
      <c r="F321" s="7">
        <v>45243</v>
      </c>
      <c r="G321">
        <v>248.5</v>
      </c>
      <c r="H321">
        <v>225.94</v>
      </c>
      <c r="I321">
        <v>280.7</v>
      </c>
      <c r="J321">
        <v>56146.09</v>
      </c>
      <c r="K321">
        <f t="shared" si="4"/>
        <v>-13607.859999999997</v>
      </c>
    </row>
    <row r="322" spans="1:11" x14ac:dyDescent="0.45">
      <c r="A322" t="s">
        <v>22</v>
      </c>
      <c r="B322" t="s">
        <v>31</v>
      </c>
      <c r="C322" t="s">
        <v>42</v>
      </c>
      <c r="D322" t="s">
        <v>14</v>
      </c>
      <c r="E322" t="s">
        <v>20</v>
      </c>
      <c r="F322" s="7">
        <v>45244</v>
      </c>
      <c r="G322">
        <v>242</v>
      </c>
      <c r="H322">
        <v>170.12</v>
      </c>
      <c r="I322">
        <v>235.15</v>
      </c>
      <c r="J322">
        <v>41169.040000000001</v>
      </c>
      <c r="K322">
        <f t="shared" si="4"/>
        <v>-15737.26</v>
      </c>
    </row>
    <row r="323" spans="1:11" x14ac:dyDescent="0.45">
      <c r="A323" t="s">
        <v>11</v>
      </c>
      <c r="B323" t="s">
        <v>50</v>
      </c>
      <c r="C323" t="s">
        <v>27</v>
      </c>
      <c r="D323" t="s">
        <v>14</v>
      </c>
      <c r="E323" t="s">
        <v>15</v>
      </c>
      <c r="F323" s="7">
        <v>45245</v>
      </c>
      <c r="G323">
        <v>470</v>
      </c>
      <c r="H323">
        <v>292.33999999999997</v>
      </c>
      <c r="I323">
        <v>235.42</v>
      </c>
      <c r="J323">
        <v>137399.79999999999</v>
      </c>
      <c r="K323">
        <f t="shared" si="4"/>
        <v>26752.399999999994</v>
      </c>
    </row>
    <row r="324" spans="1:11" x14ac:dyDescent="0.45">
      <c r="A324" t="s">
        <v>48</v>
      </c>
      <c r="B324" t="s">
        <v>31</v>
      </c>
      <c r="C324" t="s">
        <v>27</v>
      </c>
      <c r="D324" t="s">
        <v>24</v>
      </c>
      <c r="E324" t="s">
        <v>15</v>
      </c>
      <c r="F324" s="7">
        <v>45246</v>
      </c>
      <c r="G324">
        <v>423</v>
      </c>
      <c r="H324">
        <v>48.94</v>
      </c>
      <c r="I324">
        <v>279.67</v>
      </c>
      <c r="J324">
        <v>20701.62</v>
      </c>
      <c r="K324">
        <f t="shared" si="4"/>
        <v>-97598.790000000008</v>
      </c>
    </row>
    <row r="325" spans="1:11" x14ac:dyDescent="0.45">
      <c r="A325" t="s">
        <v>17</v>
      </c>
      <c r="B325" t="s">
        <v>31</v>
      </c>
      <c r="C325" t="s">
        <v>13</v>
      </c>
      <c r="D325" t="s">
        <v>14</v>
      </c>
      <c r="E325" t="s">
        <v>20</v>
      </c>
      <c r="F325" s="7">
        <v>45247</v>
      </c>
      <c r="G325">
        <v>426</v>
      </c>
      <c r="H325">
        <v>481.02</v>
      </c>
      <c r="I325">
        <v>371.99</v>
      </c>
      <c r="J325">
        <v>204914.52</v>
      </c>
      <c r="K325">
        <f t="shared" si="4"/>
        <v>46446.779999999992</v>
      </c>
    </row>
    <row r="326" spans="1:11" x14ac:dyDescent="0.45">
      <c r="A326" t="s">
        <v>22</v>
      </c>
      <c r="B326" t="s">
        <v>26</v>
      </c>
      <c r="C326" t="s">
        <v>27</v>
      </c>
      <c r="D326" t="s">
        <v>24</v>
      </c>
      <c r="E326" t="s">
        <v>28</v>
      </c>
      <c r="F326" s="7">
        <v>45248</v>
      </c>
      <c r="G326">
        <v>86</v>
      </c>
      <c r="H326">
        <v>319.31</v>
      </c>
      <c r="I326">
        <v>313.47000000000003</v>
      </c>
      <c r="J326">
        <v>27460.66</v>
      </c>
      <c r="K326">
        <f t="shared" ref="K326:K354" si="5">(H326-I326)*G326</f>
        <v>502.23999999999785</v>
      </c>
    </row>
    <row r="327" spans="1:11" x14ac:dyDescent="0.45">
      <c r="A327" t="s">
        <v>17</v>
      </c>
      <c r="B327" t="s">
        <v>12</v>
      </c>
      <c r="C327" t="s">
        <v>19</v>
      </c>
      <c r="D327" t="s">
        <v>24</v>
      </c>
      <c r="E327" t="s">
        <v>15</v>
      </c>
      <c r="F327" s="7">
        <v>45249</v>
      </c>
      <c r="G327">
        <v>125</v>
      </c>
      <c r="H327">
        <v>378.64</v>
      </c>
      <c r="I327">
        <v>24.34</v>
      </c>
      <c r="J327">
        <v>47330</v>
      </c>
      <c r="K327">
        <f t="shared" si="5"/>
        <v>44287.5</v>
      </c>
    </row>
    <row r="328" spans="1:11" x14ac:dyDescent="0.45">
      <c r="A328" t="s">
        <v>48</v>
      </c>
      <c r="B328" t="s">
        <v>18</v>
      </c>
      <c r="C328" t="s">
        <v>13</v>
      </c>
      <c r="D328" t="s">
        <v>14</v>
      </c>
      <c r="E328" t="s">
        <v>15</v>
      </c>
      <c r="F328" s="7">
        <v>45250</v>
      </c>
      <c r="G328">
        <v>163</v>
      </c>
      <c r="H328">
        <v>89.39</v>
      </c>
      <c r="I328">
        <v>341.39</v>
      </c>
      <c r="J328">
        <v>14570.57</v>
      </c>
      <c r="K328">
        <f t="shared" si="5"/>
        <v>-41076</v>
      </c>
    </row>
    <row r="329" spans="1:11" x14ac:dyDescent="0.45">
      <c r="A329" t="s">
        <v>48</v>
      </c>
      <c r="B329" t="s">
        <v>26</v>
      </c>
      <c r="C329" t="s">
        <v>13</v>
      </c>
      <c r="D329" t="s">
        <v>24</v>
      </c>
      <c r="E329" t="s">
        <v>20</v>
      </c>
      <c r="F329" s="7">
        <v>45251</v>
      </c>
      <c r="G329">
        <v>415</v>
      </c>
      <c r="H329">
        <v>207.69</v>
      </c>
      <c r="I329">
        <v>91.77</v>
      </c>
      <c r="J329">
        <v>86191.35</v>
      </c>
      <c r="K329">
        <f t="shared" si="5"/>
        <v>48106.8</v>
      </c>
    </row>
    <row r="330" spans="1:11" x14ac:dyDescent="0.45">
      <c r="A330" t="s">
        <v>48</v>
      </c>
      <c r="B330" t="s">
        <v>26</v>
      </c>
      <c r="C330" t="s">
        <v>27</v>
      </c>
      <c r="D330" t="s">
        <v>24</v>
      </c>
      <c r="E330" t="s">
        <v>28</v>
      </c>
      <c r="F330" s="7">
        <v>45252</v>
      </c>
      <c r="G330">
        <v>112</v>
      </c>
      <c r="H330">
        <v>214.23</v>
      </c>
      <c r="I330">
        <v>152.01</v>
      </c>
      <c r="J330">
        <v>23993.759999999998</v>
      </c>
      <c r="K330">
        <f t="shared" si="5"/>
        <v>6968.6399999999994</v>
      </c>
    </row>
    <row r="331" spans="1:11" x14ac:dyDescent="0.45">
      <c r="A331" t="s">
        <v>11</v>
      </c>
      <c r="B331" t="s">
        <v>12</v>
      </c>
      <c r="C331" t="s">
        <v>19</v>
      </c>
      <c r="D331" t="s">
        <v>24</v>
      </c>
      <c r="E331" t="s">
        <v>20</v>
      </c>
      <c r="F331" s="7">
        <v>45253</v>
      </c>
      <c r="G331">
        <v>203</v>
      </c>
      <c r="H331">
        <v>411.79</v>
      </c>
      <c r="I331">
        <v>185.77</v>
      </c>
      <c r="J331">
        <v>83593.37000000001</v>
      </c>
      <c r="K331">
        <f t="shared" si="5"/>
        <v>45882.060000000005</v>
      </c>
    </row>
    <row r="332" spans="1:11" x14ac:dyDescent="0.45">
      <c r="A332" t="s">
        <v>11</v>
      </c>
      <c r="B332" t="s">
        <v>18</v>
      </c>
      <c r="C332" t="s">
        <v>42</v>
      </c>
      <c r="D332" t="s">
        <v>24</v>
      </c>
      <c r="E332" t="s">
        <v>28</v>
      </c>
      <c r="F332" s="7">
        <v>45254</v>
      </c>
      <c r="G332">
        <v>248.5</v>
      </c>
      <c r="H332">
        <v>5.61</v>
      </c>
      <c r="I332">
        <v>193.4</v>
      </c>
      <c r="J332">
        <v>1394.085</v>
      </c>
      <c r="K332">
        <f t="shared" si="5"/>
        <v>-46665.814999999995</v>
      </c>
    </row>
    <row r="333" spans="1:11" x14ac:dyDescent="0.45">
      <c r="A333" t="s">
        <v>17</v>
      </c>
      <c r="B333" t="s">
        <v>50</v>
      </c>
      <c r="C333" t="s">
        <v>13</v>
      </c>
      <c r="D333" t="s">
        <v>24</v>
      </c>
      <c r="E333" t="s">
        <v>28</v>
      </c>
      <c r="F333" s="7">
        <v>45255</v>
      </c>
      <c r="G333">
        <v>368</v>
      </c>
      <c r="H333">
        <v>153.91999999999999</v>
      </c>
      <c r="I333">
        <v>175.2</v>
      </c>
      <c r="J333">
        <v>56642.559999999998</v>
      </c>
      <c r="K333">
        <f t="shared" si="5"/>
        <v>-7831.0400000000009</v>
      </c>
    </row>
    <row r="334" spans="1:11" x14ac:dyDescent="0.45">
      <c r="A334" t="s">
        <v>17</v>
      </c>
      <c r="B334" t="s">
        <v>50</v>
      </c>
      <c r="C334" t="s">
        <v>42</v>
      </c>
      <c r="D334" t="s">
        <v>24</v>
      </c>
      <c r="E334" t="s">
        <v>28</v>
      </c>
      <c r="F334" s="7">
        <v>45256</v>
      </c>
      <c r="G334">
        <v>99</v>
      </c>
      <c r="H334">
        <v>490.71</v>
      </c>
      <c r="I334">
        <v>375.07</v>
      </c>
      <c r="J334">
        <v>48580.29</v>
      </c>
      <c r="K334">
        <f t="shared" si="5"/>
        <v>11448.359999999999</v>
      </c>
    </row>
    <row r="335" spans="1:11" x14ac:dyDescent="0.45">
      <c r="A335" t="s">
        <v>22</v>
      </c>
      <c r="B335" t="s">
        <v>26</v>
      </c>
      <c r="C335" t="s">
        <v>42</v>
      </c>
      <c r="D335" t="s">
        <v>14</v>
      </c>
      <c r="E335" t="s">
        <v>15</v>
      </c>
      <c r="F335" s="7">
        <v>45257</v>
      </c>
      <c r="G335">
        <v>183</v>
      </c>
      <c r="H335">
        <v>240.07</v>
      </c>
      <c r="I335">
        <v>283</v>
      </c>
      <c r="J335">
        <v>43932.81</v>
      </c>
      <c r="K335">
        <f t="shared" si="5"/>
        <v>-7856.1900000000014</v>
      </c>
    </row>
    <row r="336" spans="1:11" x14ac:dyDescent="0.45">
      <c r="A336" t="s">
        <v>17</v>
      </c>
      <c r="B336" t="s">
        <v>18</v>
      </c>
      <c r="C336" t="s">
        <v>42</v>
      </c>
      <c r="D336" t="s">
        <v>24</v>
      </c>
      <c r="E336" t="s">
        <v>20</v>
      </c>
      <c r="F336" s="7">
        <v>45258</v>
      </c>
      <c r="G336">
        <v>131</v>
      </c>
      <c r="H336">
        <v>194.35</v>
      </c>
      <c r="I336">
        <v>253.21</v>
      </c>
      <c r="J336">
        <v>25459.85</v>
      </c>
      <c r="K336">
        <f t="shared" si="5"/>
        <v>-7710.6600000000017</v>
      </c>
    </row>
    <row r="337" spans="1:11" x14ac:dyDescent="0.45">
      <c r="A337" t="s">
        <v>17</v>
      </c>
      <c r="B337" t="s">
        <v>26</v>
      </c>
      <c r="C337" t="s">
        <v>23</v>
      </c>
      <c r="D337" t="s">
        <v>24</v>
      </c>
      <c r="E337" t="s">
        <v>20</v>
      </c>
      <c r="F337" s="7">
        <v>45259</v>
      </c>
      <c r="G337">
        <v>152</v>
      </c>
      <c r="H337">
        <v>64.319999999999993</v>
      </c>
      <c r="I337">
        <v>21.84</v>
      </c>
      <c r="J337">
        <v>9776.64</v>
      </c>
      <c r="K337">
        <f t="shared" si="5"/>
        <v>6456.9599999999982</v>
      </c>
    </row>
    <row r="338" spans="1:11" x14ac:dyDescent="0.45">
      <c r="A338" t="s">
        <v>11</v>
      </c>
      <c r="B338" t="s">
        <v>31</v>
      </c>
      <c r="C338" t="s">
        <v>23</v>
      </c>
      <c r="D338" t="s">
        <v>24</v>
      </c>
      <c r="E338" t="s">
        <v>28</v>
      </c>
      <c r="F338" s="7">
        <v>45260</v>
      </c>
      <c r="G338">
        <v>491</v>
      </c>
      <c r="H338">
        <v>487.21</v>
      </c>
      <c r="I338">
        <v>361.76</v>
      </c>
      <c r="J338">
        <v>239220.11</v>
      </c>
      <c r="K338">
        <f t="shared" si="5"/>
        <v>61595.95</v>
      </c>
    </row>
    <row r="339" spans="1:11" x14ac:dyDescent="0.45">
      <c r="A339" t="s">
        <v>48</v>
      </c>
      <c r="B339" t="s">
        <v>26</v>
      </c>
      <c r="C339" t="s">
        <v>42</v>
      </c>
      <c r="D339" t="s">
        <v>14</v>
      </c>
      <c r="E339" t="s">
        <v>15</v>
      </c>
      <c r="F339" s="7">
        <v>45261</v>
      </c>
      <c r="G339">
        <v>115</v>
      </c>
      <c r="H339">
        <v>14.91</v>
      </c>
      <c r="I339">
        <v>363.94</v>
      </c>
      <c r="J339">
        <v>1714.65</v>
      </c>
      <c r="K339">
        <f t="shared" si="5"/>
        <v>-40138.449999999997</v>
      </c>
    </row>
    <row r="340" spans="1:11" x14ac:dyDescent="0.45">
      <c r="A340" t="s">
        <v>17</v>
      </c>
      <c r="B340" t="s">
        <v>26</v>
      </c>
      <c r="C340" t="s">
        <v>13</v>
      </c>
      <c r="D340" t="s">
        <v>24</v>
      </c>
      <c r="E340" t="s">
        <v>15</v>
      </c>
      <c r="F340" s="7">
        <v>45262</v>
      </c>
      <c r="G340">
        <v>384</v>
      </c>
      <c r="H340">
        <v>369.9</v>
      </c>
      <c r="I340">
        <v>312.52</v>
      </c>
      <c r="J340">
        <v>142041.60000000001</v>
      </c>
      <c r="K340">
        <f t="shared" si="5"/>
        <v>22033.919999999998</v>
      </c>
    </row>
    <row r="341" spans="1:11" x14ac:dyDescent="0.45">
      <c r="A341" t="s">
        <v>22</v>
      </c>
      <c r="B341" t="s">
        <v>50</v>
      </c>
      <c r="C341" t="s">
        <v>19</v>
      </c>
      <c r="D341" t="s">
        <v>14</v>
      </c>
      <c r="E341" t="s">
        <v>20</v>
      </c>
      <c r="F341" s="7">
        <v>45263</v>
      </c>
      <c r="G341">
        <v>437</v>
      </c>
      <c r="H341">
        <v>385.46</v>
      </c>
      <c r="I341">
        <v>4.8</v>
      </c>
      <c r="J341">
        <v>168446.02</v>
      </c>
      <c r="K341">
        <f t="shared" si="5"/>
        <v>166348.41999999998</v>
      </c>
    </row>
    <row r="342" spans="1:11" x14ac:dyDescent="0.45">
      <c r="A342" t="s">
        <v>11</v>
      </c>
      <c r="B342" t="s">
        <v>50</v>
      </c>
      <c r="C342" t="s">
        <v>19</v>
      </c>
      <c r="D342" t="s">
        <v>24</v>
      </c>
      <c r="E342" t="s">
        <v>15</v>
      </c>
      <c r="F342" s="7">
        <v>45264</v>
      </c>
      <c r="G342">
        <v>314</v>
      </c>
      <c r="H342">
        <v>125.61</v>
      </c>
      <c r="I342">
        <v>24.8</v>
      </c>
      <c r="J342">
        <v>39441.54</v>
      </c>
      <c r="K342">
        <f t="shared" si="5"/>
        <v>31654.34</v>
      </c>
    </row>
    <row r="343" spans="1:11" x14ac:dyDescent="0.45">
      <c r="A343" t="s">
        <v>17</v>
      </c>
      <c r="B343" t="s">
        <v>50</v>
      </c>
      <c r="C343" t="s">
        <v>27</v>
      </c>
      <c r="D343" t="s">
        <v>14</v>
      </c>
      <c r="E343" t="s">
        <v>15</v>
      </c>
      <c r="F343" s="7">
        <v>45265</v>
      </c>
      <c r="G343">
        <v>369</v>
      </c>
      <c r="H343">
        <v>337.42</v>
      </c>
      <c r="I343">
        <v>91.64</v>
      </c>
      <c r="J343">
        <v>124507.98</v>
      </c>
      <c r="K343">
        <f t="shared" si="5"/>
        <v>90692.82</v>
      </c>
    </row>
    <row r="344" spans="1:11" x14ac:dyDescent="0.45">
      <c r="A344" t="s">
        <v>17</v>
      </c>
      <c r="B344" t="s">
        <v>31</v>
      </c>
      <c r="C344" t="s">
        <v>13</v>
      </c>
      <c r="D344" t="s">
        <v>14</v>
      </c>
      <c r="E344" t="s">
        <v>28</v>
      </c>
      <c r="F344" s="7">
        <v>45266</v>
      </c>
      <c r="G344">
        <v>468</v>
      </c>
      <c r="H344">
        <v>51</v>
      </c>
      <c r="I344">
        <v>54.28</v>
      </c>
      <c r="J344">
        <v>23868</v>
      </c>
      <c r="K344">
        <f t="shared" si="5"/>
        <v>-1535.0400000000004</v>
      </c>
    </row>
    <row r="345" spans="1:11" x14ac:dyDescent="0.45">
      <c r="A345" t="s">
        <v>11</v>
      </c>
      <c r="B345" t="s">
        <v>50</v>
      </c>
      <c r="C345" t="s">
        <v>23</v>
      </c>
      <c r="D345" t="s">
        <v>24</v>
      </c>
      <c r="E345" t="s">
        <v>15</v>
      </c>
      <c r="F345" s="7">
        <v>45267</v>
      </c>
      <c r="G345">
        <v>326</v>
      </c>
      <c r="H345">
        <v>132.24</v>
      </c>
      <c r="I345">
        <v>160.74</v>
      </c>
      <c r="J345">
        <v>43110.240000000013</v>
      </c>
      <c r="K345">
        <f t="shared" si="5"/>
        <v>-9291</v>
      </c>
    </row>
    <row r="346" spans="1:11" x14ac:dyDescent="0.45">
      <c r="A346" t="s">
        <v>17</v>
      </c>
      <c r="B346" t="s">
        <v>18</v>
      </c>
      <c r="C346" t="s">
        <v>42</v>
      </c>
      <c r="D346" t="s">
        <v>24</v>
      </c>
      <c r="E346" t="s">
        <v>28</v>
      </c>
      <c r="F346" s="7">
        <v>45268</v>
      </c>
      <c r="G346">
        <v>460</v>
      </c>
      <c r="H346">
        <v>395.01</v>
      </c>
      <c r="I346">
        <v>369.2</v>
      </c>
      <c r="J346">
        <v>181704.6</v>
      </c>
      <c r="K346">
        <f t="shared" si="5"/>
        <v>11872.6</v>
      </c>
    </row>
    <row r="347" spans="1:11" x14ac:dyDescent="0.45">
      <c r="A347" t="s">
        <v>11</v>
      </c>
      <c r="B347" t="s">
        <v>12</v>
      </c>
      <c r="C347" t="s">
        <v>27</v>
      </c>
      <c r="D347" t="s">
        <v>14</v>
      </c>
      <c r="E347" t="s">
        <v>20</v>
      </c>
      <c r="F347" s="7">
        <v>45269</v>
      </c>
      <c r="G347">
        <v>132</v>
      </c>
      <c r="H347">
        <v>433.02</v>
      </c>
      <c r="I347">
        <v>189.88</v>
      </c>
      <c r="J347">
        <v>57158.64</v>
      </c>
      <c r="K347">
        <f t="shared" si="5"/>
        <v>32094.48</v>
      </c>
    </row>
    <row r="348" spans="1:11" x14ac:dyDescent="0.45">
      <c r="A348" t="s">
        <v>48</v>
      </c>
      <c r="B348" t="s">
        <v>18</v>
      </c>
      <c r="C348" t="s">
        <v>19</v>
      </c>
      <c r="D348" t="s">
        <v>24</v>
      </c>
      <c r="E348" t="s">
        <v>15</v>
      </c>
      <c r="F348" s="7">
        <v>45270</v>
      </c>
      <c r="G348">
        <v>399</v>
      </c>
      <c r="H348">
        <v>306.2</v>
      </c>
      <c r="I348">
        <v>7.33</v>
      </c>
      <c r="J348">
        <v>122173.8</v>
      </c>
      <c r="K348">
        <f t="shared" si="5"/>
        <v>119249.13</v>
      </c>
    </row>
    <row r="349" spans="1:11" x14ac:dyDescent="0.45">
      <c r="A349" t="s">
        <v>11</v>
      </c>
      <c r="B349" t="s">
        <v>18</v>
      </c>
      <c r="C349" t="s">
        <v>23</v>
      </c>
      <c r="D349" t="s">
        <v>14</v>
      </c>
      <c r="E349" t="s">
        <v>20</v>
      </c>
      <c r="F349" s="7">
        <v>45271</v>
      </c>
      <c r="G349">
        <v>18</v>
      </c>
      <c r="H349">
        <v>255.89</v>
      </c>
      <c r="I349">
        <v>114.53</v>
      </c>
      <c r="J349">
        <v>4606.0200000000004</v>
      </c>
      <c r="K349">
        <f t="shared" si="5"/>
        <v>2544.4799999999996</v>
      </c>
    </row>
    <row r="350" spans="1:11" x14ac:dyDescent="0.45">
      <c r="A350" t="s">
        <v>11</v>
      </c>
      <c r="B350" t="s">
        <v>50</v>
      </c>
      <c r="C350" t="s">
        <v>23</v>
      </c>
      <c r="D350" t="s">
        <v>14</v>
      </c>
      <c r="E350" t="s">
        <v>20</v>
      </c>
      <c r="F350" s="7">
        <v>45272</v>
      </c>
      <c r="G350">
        <v>271</v>
      </c>
      <c r="H350">
        <v>83.86</v>
      </c>
      <c r="I350">
        <v>19.75</v>
      </c>
      <c r="J350">
        <v>22726.06</v>
      </c>
      <c r="K350">
        <f t="shared" si="5"/>
        <v>17373.810000000001</v>
      </c>
    </row>
    <row r="351" spans="1:11" x14ac:dyDescent="0.45">
      <c r="A351" t="s">
        <v>17</v>
      </c>
      <c r="B351" t="s">
        <v>12</v>
      </c>
      <c r="C351" t="s">
        <v>42</v>
      </c>
      <c r="D351" t="s">
        <v>14</v>
      </c>
      <c r="E351" t="s">
        <v>15</v>
      </c>
      <c r="F351" s="7">
        <v>45273</v>
      </c>
      <c r="G351">
        <v>82</v>
      </c>
      <c r="H351">
        <v>36.24</v>
      </c>
      <c r="I351">
        <v>16.440000000000001</v>
      </c>
      <c r="J351">
        <v>2971.68</v>
      </c>
      <c r="K351">
        <f t="shared" si="5"/>
        <v>1623.6000000000001</v>
      </c>
    </row>
    <row r="352" spans="1:11" x14ac:dyDescent="0.45">
      <c r="A352" t="s">
        <v>17</v>
      </c>
      <c r="B352" t="s">
        <v>12</v>
      </c>
      <c r="C352" t="s">
        <v>19</v>
      </c>
      <c r="D352" t="s">
        <v>14</v>
      </c>
      <c r="E352" t="s">
        <v>15</v>
      </c>
      <c r="F352" s="7">
        <v>45274</v>
      </c>
      <c r="G352">
        <v>368</v>
      </c>
      <c r="H352">
        <v>63.24</v>
      </c>
      <c r="I352">
        <v>111.74</v>
      </c>
      <c r="J352">
        <v>23272.32</v>
      </c>
      <c r="K352">
        <f t="shared" si="5"/>
        <v>-17847.999999999996</v>
      </c>
    </row>
    <row r="353" spans="1:11" x14ac:dyDescent="0.45">
      <c r="A353" t="s">
        <v>17</v>
      </c>
      <c r="B353" t="s">
        <v>12</v>
      </c>
      <c r="C353" t="s">
        <v>13</v>
      </c>
      <c r="D353" t="s">
        <v>14</v>
      </c>
      <c r="E353" t="s">
        <v>20</v>
      </c>
      <c r="F353" s="7">
        <v>45275</v>
      </c>
      <c r="G353">
        <v>232</v>
      </c>
      <c r="H353">
        <v>117.54</v>
      </c>
      <c r="I353">
        <v>111.69</v>
      </c>
      <c r="J353">
        <v>27269.279999999999</v>
      </c>
      <c r="K353">
        <f t="shared" si="5"/>
        <v>1357.2000000000021</v>
      </c>
    </row>
    <row r="354" spans="1:11" x14ac:dyDescent="0.45">
      <c r="A354" t="s">
        <v>11</v>
      </c>
      <c r="B354" t="s">
        <v>31</v>
      </c>
      <c r="C354" t="s">
        <v>23</v>
      </c>
      <c r="D354" t="s">
        <v>24</v>
      </c>
      <c r="E354" t="s">
        <v>15</v>
      </c>
      <c r="F354" s="7">
        <v>45276</v>
      </c>
      <c r="G354">
        <v>425</v>
      </c>
      <c r="H354">
        <v>174.13</v>
      </c>
      <c r="I354">
        <v>315.27999999999997</v>
      </c>
      <c r="J354">
        <v>74005.25</v>
      </c>
      <c r="K354">
        <f t="shared" si="5"/>
        <v>-59988.749999999993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0315-5FC2-4A93-935E-4C41D744CD23}">
  <dimension ref="A1:F10"/>
  <sheetViews>
    <sheetView workbookViewId="0">
      <selection activeCell="A13" sqref="A13"/>
    </sheetView>
  </sheetViews>
  <sheetFormatPr defaultRowHeight="14.25" x14ac:dyDescent="0.45"/>
  <cols>
    <col min="1" max="1" width="19.6640625" bestFit="1" customWidth="1"/>
    <col min="2" max="2" width="15.53125" bestFit="1" customWidth="1"/>
    <col min="3" max="6" width="12" bestFit="1" customWidth="1"/>
  </cols>
  <sheetData>
    <row r="1" spans="1:6" ht="18" x14ac:dyDescent="0.55000000000000004">
      <c r="A1" s="12" t="s">
        <v>387</v>
      </c>
      <c r="B1" s="13"/>
      <c r="C1" s="13"/>
      <c r="D1" s="13"/>
      <c r="E1" s="13"/>
      <c r="F1" s="13"/>
    </row>
    <row r="2" spans="1:6" x14ac:dyDescent="0.45">
      <c r="A2" t="s">
        <v>380</v>
      </c>
    </row>
    <row r="3" spans="1:6" x14ac:dyDescent="0.45">
      <c r="A3" s="14" t="s">
        <v>391</v>
      </c>
      <c r="B3" s="14" t="s">
        <v>390</v>
      </c>
    </row>
    <row r="4" spans="1:6" x14ac:dyDescent="0.45">
      <c r="A4" s="14" t="s">
        <v>388</v>
      </c>
      <c r="B4" t="s">
        <v>11</v>
      </c>
      <c r="C4" t="s">
        <v>22</v>
      </c>
      <c r="D4" t="s">
        <v>48</v>
      </c>
      <c r="E4" t="s">
        <v>17</v>
      </c>
      <c r="F4" t="s">
        <v>389</v>
      </c>
    </row>
    <row r="5" spans="1:6" x14ac:dyDescent="0.45">
      <c r="A5" s="15" t="s">
        <v>13</v>
      </c>
      <c r="B5" s="16">
        <v>1110756.69</v>
      </c>
      <c r="C5" s="16">
        <v>1276139.23</v>
      </c>
      <c r="D5" s="16">
        <v>1200540.425</v>
      </c>
      <c r="E5" s="16">
        <v>1977673.9300000004</v>
      </c>
      <c r="F5" s="16">
        <v>5565110.2750000004</v>
      </c>
    </row>
    <row r="6" spans="1:6" x14ac:dyDescent="0.45">
      <c r="A6" s="15" t="s">
        <v>23</v>
      </c>
      <c r="B6" s="16">
        <v>1587235.0600000003</v>
      </c>
      <c r="C6" s="16">
        <v>628999.11499999999</v>
      </c>
      <c r="D6" s="16">
        <v>496502.89</v>
      </c>
      <c r="E6" s="16">
        <v>1134960.6549999998</v>
      </c>
      <c r="F6" s="16">
        <v>3847697.72</v>
      </c>
    </row>
    <row r="7" spans="1:6" x14ac:dyDescent="0.45">
      <c r="A7" s="15" t="s">
        <v>42</v>
      </c>
      <c r="B7" s="16">
        <v>946337.6050000001</v>
      </c>
      <c r="C7" s="16">
        <v>950484.27000000025</v>
      </c>
      <c r="D7" s="16">
        <v>1063212.135</v>
      </c>
      <c r="E7" s="16">
        <v>1560798.9150000003</v>
      </c>
      <c r="F7" s="16">
        <v>4520832.9250000007</v>
      </c>
    </row>
    <row r="8" spans="1:6" x14ac:dyDescent="0.45">
      <c r="A8" s="15" t="s">
        <v>19</v>
      </c>
      <c r="B8" s="16">
        <v>885524.10499999998</v>
      </c>
      <c r="C8" s="16">
        <v>1659821.7450000001</v>
      </c>
      <c r="D8" s="16">
        <v>698139.59499999997</v>
      </c>
      <c r="E8" s="16">
        <v>824625.52999999991</v>
      </c>
      <c r="F8" s="16">
        <v>4068110.9750000001</v>
      </c>
    </row>
    <row r="9" spans="1:6" x14ac:dyDescent="0.45">
      <c r="A9" s="15" t="s">
        <v>27</v>
      </c>
      <c r="B9" s="16">
        <v>1761231.2650000004</v>
      </c>
      <c r="C9" s="16">
        <v>731274.15</v>
      </c>
      <c r="D9" s="16">
        <v>832820.25000000012</v>
      </c>
      <c r="E9" s="16">
        <v>1129285.8900000001</v>
      </c>
      <c r="F9" s="16">
        <v>4454611.5550000006</v>
      </c>
    </row>
    <row r="10" spans="1:6" x14ac:dyDescent="0.45">
      <c r="A10" s="15" t="s">
        <v>389</v>
      </c>
      <c r="B10" s="16">
        <v>6291084.7250000006</v>
      </c>
      <c r="C10" s="16">
        <v>5246718.5100000007</v>
      </c>
      <c r="D10" s="16">
        <v>4291215.2949999999</v>
      </c>
      <c r="E10" s="16">
        <v>6627344.9199999999</v>
      </c>
      <c r="F10" s="16">
        <v>22456363.450000003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96E6-3183-4C79-9470-0BCDB8863A17}">
  <dimension ref="A1:K353"/>
  <sheetViews>
    <sheetView topLeftCell="A3" workbookViewId="0">
      <selection activeCell="L24" sqref="L24"/>
    </sheetView>
  </sheetViews>
  <sheetFormatPr defaultRowHeight="14.25" x14ac:dyDescent="0.45"/>
  <cols>
    <col min="3" max="3" width="9.86328125" bestFit="1" customWidth="1"/>
    <col min="4" max="4" width="12.53125" bestFit="1" customWidth="1"/>
    <col min="5" max="5" width="12.33203125" bestFit="1" customWidth="1"/>
    <col min="6" max="6" width="18.1328125" bestFit="1" customWidth="1"/>
    <col min="9" max="9" width="8.6640625" bestFit="1" customWidth="1"/>
    <col min="10" max="10" width="13.1328125" bestFit="1" customWidth="1"/>
  </cols>
  <sheetData>
    <row r="1" spans="1:11" ht="18" x14ac:dyDescent="0.45">
      <c r="A1" s="17" t="s">
        <v>395</v>
      </c>
      <c r="B1" s="13"/>
      <c r="C1" s="13"/>
      <c r="D1" s="13"/>
      <c r="E1" s="13"/>
      <c r="F1" s="13"/>
      <c r="G1" s="13"/>
      <c r="H1" s="13"/>
    </row>
    <row r="2" spans="1:11" x14ac:dyDescent="0.45">
      <c r="A2" t="s">
        <v>380</v>
      </c>
    </row>
    <row r="3" spans="1:11" x14ac:dyDescent="0.45">
      <c r="A3" s="6" t="s">
        <v>1</v>
      </c>
      <c r="B3" s="6" t="s">
        <v>2</v>
      </c>
      <c r="C3" s="6" t="s">
        <v>3</v>
      </c>
      <c r="D3" s="6" t="s">
        <v>4</v>
      </c>
      <c r="E3" s="6" t="s">
        <v>5</v>
      </c>
      <c r="F3" s="6" t="s">
        <v>6</v>
      </c>
      <c r="G3" s="6" t="s">
        <v>7</v>
      </c>
      <c r="H3" s="6" t="s">
        <v>8</v>
      </c>
      <c r="I3" s="6" t="s">
        <v>9</v>
      </c>
      <c r="J3" s="6" t="s">
        <v>383</v>
      </c>
      <c r="K3" s="18" t="s">
        <v>393</v>
      </c>
    </row>
    <row r="4" spans="1:11" x14ac:dyDescent="0.45">
      <c r="A4" t="s">
        <v>11</v>
      </c>
      <c r="B4" t="s">
        <v>12</v>
      </c>
      <c r="C4" t="s">
        <v>13</v>
      </c>
      <c r="D4" t="s">
        <v>14</v>
      </c>
      <c r="E4" t="s">
        <v>15</v>
      </c>
      <c r="F4" s="7">
        <v>44927</v>
      </c>
      <c r="G4">
        <v>235</v>
      </c>
      <c r="H4">
        <v>152.91999999999999</v>
      </c>
      <c r="I4">
        <v>153.6</v>
      </c>
      <c r="J4">
        <v>35936.199999999997</v>
      </c>
      <c r="K4">
        <f>(H4-I4)*G4</f>
        <v>-159.8000000000016</v>
      </c>
    </row>
    <row r="5" spans="1:11" x14ac:dyDescent="0.45">
      <c r="A5" t="s">
        <v>17</v>
      </c>
      <c r="B5" t="s">
        <v>18</v>
      </c>
      <c r="C5" t="s">
        <v>19</v>
      </c>
      <c r="D5" t="s">
        <v>14</v>
      </c>
      <c r="E5" t="s">
        <v>20</v>
      </c>
      <c r="F5" s="7">
        <v>44928</v>
      </c>
      <c r="G5">
        <v>341</v>
      </c>
      <c r="H5">
        <v>467.92</v>
      </c>
      <c r="I5">
        <v>139.84</v>
      </c>
      <c r="J5">
        <v>159560.72</v>
      </c>
      <c r="K5">
        <f t="shared" ref="K5:K68" si="0">(H5-I5)*G5</f>
        <v>111875.28000000001</v>
      </c>
    </row>
    <row r="6" spans="1:11" x14ac:dyDescent="0.45">
      <c r="A6" t="s">
        <v>22</v>
      </c>
      <c r="B6" t="s">
        <v>18</v>
      </c>
      <c r="C6" t="s">
        <v>23</v>
      </c>
      <c r="D6" t="s">
        <v>24</v>
      </c>
      <c r="E6" t="s">
        <v>15</v>
      </c>
      <c r="F6" s="7">
        <v>44929</v>
      </c>
      <c r="G6">
        <v>179</v>
      </c>
      <c r="H6">
        <v>473.94</v>
      </c>
      <c r="I6">
        <v>97.14</v>
      </c>
      <c r="J6">
        <v>84835.26</v>
      </c>
      <c r="K6">
        <f t="shared" si="0"/>
        <v>67447.199999999997</v>
      </c>
    </row>
    <row r="7" spans="1:11" x14ac:dyDescent="0.45">
      <c r="A7" t="s">
        <v>11</v>
      </c>
      <c r="B7" t="s">
        <v>26</v>
      </c>
      <c r="C7" t="s">
        <v>27</v>
      </c>
      <c r="D7" t="s">
        <v>24</v>
      </c>
      <c r="E7" t="s">
        <v>28</v>
      </c>
      <c r="F7" s="7">
        <v>44930</v>
      </c>
      <c r="G7">
        <v>18</v>
      </c>
      <c r="H7">
        <v>314.52999999999997</v>
      </c>
      <c r="I7">
        <v>204.87</v>
      </c>
      <c r="J7">
        <v>5661.5399999999991</v>
      </c>
      <c r="K7">
        <f t="shared" si="0"/>
        <v>1973.8799999999994</v>
      </c>
    </row>
    <row r="8" spans="1:11" x14ac:dyDescent="0.45">
      <c r="A8" t="s">
        <v>11</v>
      </c>
      <c r="B8" t="s">
        <v>18</v>
      </c>
      <c r="C8" t="s">
        <v>27</v>
      </c>
      <c r="D8" t="s">
        <v>24</v>
      </c>
      <c r="E8" t="s">
        <v>28</v>
      </c>
      <c r="F8" s="7">
        <v>44931</v>
      </c>
      <c r="G8">
        <v>472</v>
      </c>
      <c r="H8">
        <v>392.79</v>
      </c>
      <c r="I8">
        <v>330.46</v>
      </c>
      <c r="J8">
        <v>185396.88</v>
      </c>
      <c r="K8">
        <f t="shared" si="0"/>
        <v>29419.76000000002</v>
      </c>
    </row>
    <row r="9" spans="1:11" x14ac:dyDescent="0.45">
      <c r="A9" t="s">
        <v>17</v>
      </c>
      <c r="B9" t="s">
        <v>31</v>
      </c>
      <c r="C9" t="s">
        <v>23</v>
      </c>
      <c r="D9" t="s">
        <v>14</v>
      </c>
      <c r="E9" t="s">
        <v>15</v>
      </c>
      <c r="F9" s="7">
        <v>44932</v>
      </c>
      <c r="G9">
        <v>49</v>
      </c>
      <c r="H9">
        <v>308.07</v>
      </c>
      <c r="I9">
        <v>113.32</v>
      </c>
      <c r="J9">
        <v>15095.43</v>
      </c>
      <c r="K9">
        <f t="shared" si="0"/>
        <v>9542.75</v>
      </c>
    </row>
    <row r="10" spans="1:11" x14ac:dyDescent="0.45">
      <c r="A10" t="s">
        <v>22</v>
      </c>
      <c r="B10" t="s">
        <v>12</v>
      </c>
      <c r="C10" t="s">
        <v>23</v>
      </c>
      <c r="D10" t="s">
        <v>14</v>
      </c>
      <c r="E10" t="s">
        <v>20</v>
      </c>
      <c r="F10" s="7">
        <v>44933</v>
      </c>
      <c r="G10">
        <v>34</v>
      </c>
      <c r="H10">
        <v>244.78</v>
      </c>
      <c r="I10">
        <v>377.07</v>
      </c>
      <c r="J10">
        <v>8322.52</v>
      </c>
      <c r="K10">
        <f t="shared" si="0"/>
        <v>-4497.8599999999997</v>
      </c>
    </row>
    <row r="11" spans="1:11" x14ac:dyDescent="0.45">
      <c r="A11" t="s">
        <v>22</v>
      </c>
      <c r="B11" t="s">
        <v>18</v>
      </c>
      <c r="C11" t="s">
        <v>13</v>
      </c>
      <c r="D11" t="s">
        <v>14</v>
      </c>
      <c r="E11" t="s">
        <v>15</v>
      </c>
      <c r="F11" s="7">
        <v>44934</v>
      </c>
      <c r="G11">
        <v>270</v>
      </c>
      <c r="H11">
        <v>332.11</v>
      </c>
      <c r="I11">
        <v>349.59</v>
      </c>
      <c r="J11">
        <v>89669.7</v>
      </c>
      <c r="K11">
        <f t="shared" si="0"/>
        <v>-4719.5999999999894</v>
      </c>
    </row>
    <row r="12" spans="1:11" x14ac:dyDescent="0.45">
      <c r="A12" t="s">
        <v>11</v>
      </c>
      <c r="B12" t="s">
        <v>18</v>
      </c>
      <c r="C12" t="s">
        <v>13</v>
      </c>
      <c r="D12" t="s">
        <v>14</v>
      </c>
      <c r="E12" t="s">
        <v>20</v>
      </c>
      <c r="F12" s="7">
        <v>44935</v>
      </c>
      <c r="G12">
        <v>404</v>
      </c>
      <c r="H12">
        <v>278.74</v>
      </c>
      <c r="I12">
        <v>66.38</v>
      </c>
      <c r="J12">
        <v>112610.96</v>
      </c>
      <c r="K12">
        <f t="shared" si="0"/>
        <v>85793.44</v>
      </c>
    </row>
    <row r="13" spans="1:11" x14ac:dyDescent="0.45">
      <c r="A13" t="s">
        <v>17</v>
      </c>
      <c r="B13" t="s">
        <v>26</v>
      </c>
      <c r="C13" t="s">
        <v>27</v>
      </c>
      <c r="D13" t="s">
        <v>14</v>
      </c>
      <c r="E13" t="s">
        <v>28</v>
      </c>
      <c r="F13" s="7">
        <v>44936</v>
      </c>
      <c r="G13">
        <v>452</v>
      </c>
      <c r="H13">
        <v>300.75</v>
      </c>
      <c r="I13">
        <v>314.94</v>
      </c>
      <c r="J13">
        <v>135939</v>
      </c>
      <c r="K13">
        <f t="shared" si="0"/>
        <v>-6413.8799999999992</v>
      </c>
    </row>
    <row r="14" spans="1:11" x14ac:dyDescent="0.45">
      <c r="A14" t="s">
        <v>11</v>
      </c>
      <c r="B14" t="s">
        <v>26</v>
      </c>
      <c r="C14" t="s">
        <v>19</v>
      </c>
      <c r="D14" t="s">
        <v>14</v>
      </c>
      <c r="E14" t="s">
        <v>20</v>
      </c>
      <c r="F14" s="7">
        <v>44937</v>
      </c>
      <c r="G14">
        <v>235</v>
      </c>
      <c r="H14">
        <v>393</v>
      </c>
      <c r="I14">
        <v>230.69</v>
      </c>
      <c r="J14">
        <v>92355</v>
      </c>
      <c r="K14">
        <f t="shared" si="0"/>
        <v>38142.85</v>
      </c>
    </row>
    <row r="15" spans="1:11" x14ac:dyDescent="0.45">
      <c r="A15" t="s">
        <v>11</v>
      </c>
      <c r="B15" t="s">
        <v>31</v>
      </c>
      <c r="C15" t="s">
        <v>27</v>
      </c>
      <c r="D15" t="s">
        <v>24</v>
      </c>
      <c r="E15" t="s">
        <v>28</v>
      </c>
      <c r="F15" s="7">
        <v>44938</v>
      </c>
      <c r="G15">
        <v>481</v>
      </c>
      <c r="H15">
        <v>243.05</v>
      </c>
      <c r="I15">
        <v>227.5</v>
      </c>
      <c r="J15">
        <v>116907.05</v>
      </c>
      <c r="K15">
        <f t="shared" si="0"/>
        <v>7479.5500000000056</v>
      </c>
    </row>
    <row r="16" spans="1:11" x14ac:dyDescent="0.45">
      <c r="A16" t="s">
        <v>11</v>
      </c>
      <c r="B16" t="s">
        <v>12</v>
      </c>
      <c r="C16" t="s">
        <v>19</v>
      </c>
      <c r="D16" t="s">
        <v>24</v>
      </c>
      <c r="E16" t="s">
        <v>20</v>
      </c>
      <c r="F16" s="7">
        <v>44939</v>
      </c>
      <c r="G16">
        <v>133</v>
      </c>
      <c r="H16">
        <v>25.17</v>
      </c>
      <c r="I16">
        <v>157.63999999999999</v>
      </c>
      <c r="J16">
        <v>3347.61</v>
      </c>
      <c r="K16">
        <f t="shared" si="0"/>
        <v>-17618.509999999995</v>
      </c>
    </row>
    <row r="17" spans="1:11" x14ac:dyDescent="0.45">
      <c r="A17" t="s">
        <v>11</v>
      </c>
      <c r="B17" t="s">
        <v>26</v>
      </c>
      <c r="C17" t="s">
        <v>19</v>
      </c>
      <c r="D17" t="s">
        <v>24</v>
      </c>
      <c r="E17" t="s">
        <v>20</v>
      </c>
      <c r="F17" s="7">
        <v>44940</v>
      </c>
      <c r="G17">
        <v>472</v>
      </c>
      <c r="H17">
        <v>86.18</v>
      </c>
      <c r="I17">
        <v>201.46</v>
      </c>
      <c r="J17">
        <v>40676.960000000006</v>
      </c>
      <c r="K17">
        <f t="shared" si="0"/>
        <v>-54412.160000000003</v>
      </c>
    </row>
    <row r="18" spans="1:11" x14ac:dyDescent="0.45">
      <c r="A18" t="s">
        <v>17</v>
      </c>
      <c r="B18" t="s">
        <v>18</v>
      </c>
      <c r="C18" t="s">
        <v>13</v>
      </c>
      <c r="D18" t="s">
        <v>24</v>
      </c>
      <c r="E18" t="s">
        <v>20</v>
      </c>
      <c r="F18" s="7">
        <v>44941</v>
      </c>
      <c r="G18">
        <v>47</v>
      </c>
      <c r="H18">
        <v>222.11</v>
      </c>
      <c r="I18">
        <v>160.08000000000001</v>
      </c>
      <c r="J18">
        <v>10439.17</v>
      </c>
      <c r="K18">
        <f t="shared" si="0"/>
        <v>2915.41</v>
      </c>
    </row>
    <row r="19" spans="1:11" x14ac:dyDescent="0.45">
      <c r="A19" t="s">
        <v>22</v>
      </c>
      <c r="B19" t="s">
        <v>12</v>
      </c>
      <c r="C19" t="s">
        <v>42</v>
      </c>
      <c r="D19" t="s">
        <v>14</v>
      </c>
      <c r="E19" t="s">
        <v>15</v>
      </c>
      <c r="F19" s="7">
        <v>44942</v>
      </c>
      <c r="G19">
        <v>337</v>
      </c>
      <c r="H19">
        <v>363.79</v>
      </c>
      <c r="I19">
        <v>216.81</v>
      </c>
      <c r="J19">
        <v>122597.23</v>
      </c>
      <c r="K19">
        <f t="shared" si="0"/>
        <v>49532.260000000009</v>
      </c>
    </row>
    <row r="20" spans="1:11" x14ac:dyDescent="0.45">
      <c r="A20" t="s">
        <v>17</v>
      </c>
      <c r="B20" t="s">
        <v>12</v>
      </c>
      <c r="C20" t="s">
        <v>42</v>
      </c>
      <c r="D20" t="s">
        <v>14</v>
      </c>
      <c r="E20" t="s">
        <v>15</v>
      </c>
      <c r="F20" s="7">
        <v>44943</v>
      </c>
      <c r="G20">
        <v>260</v>
      </c>
      <c r="H20">
        <v>298.67</v>
      </c>
      <c r="I20">
        <v>251.92</v>
      </c>
      <c r="J20">
        <v>77654.2</v>
      </c>
      <c r="K20">
        <f t="shared" si="0"/>
        <v>12155.000000000007</v>
      </c>
    </row>
    <row r="21" spans="1:11" x14ac:dyDescent="0.45">
      <c r="A21" t="s">
        <v>17</v>
      </c>
      <c r="B21" t="s">
        <v>18</v>
      </c>
      <c r="C21" t="s">
        <v>23</v>
      </c>
      <c r="D21" t="s">
        <v>24</v>
      </c>
      <c r="E21" t="s">
        <v>28</v>
      </c>
      <c r="F21" s="7">
        <v>44944</v>
      </c>
      <c r="G21">
        <v>398</v>
      </c>
      <c r="H21">
        <v>326.89999999999998</v>
      </c>
      <c r="I21">
        <v>270.37</v>
      </c>
      <c r="J21">
        <v>130106.2</v>
      </c>
      <c r="K21">
        <f t="shared" si="0"/>
        <v>22498.939999999988</v>
      </c>
    </row>
    <row r="22" spans="1:11" x14ac:dyDescent="0.45">
      <c r="A22" t="s">
        <v>17</v>
      </c>
      <c r="B22" t="s">
        <v>26</v>
      </c>
      <c r="C22" t="s">
        <v>13</v>
      </c>
      <c r="D22" t="s">
        <v>14</v>
      </c>
      <c r="E22" t="s">
        <v>28</v>
      </c>
      <c r="F22" s="7">
        <v>44945</v>
      </c>
      <c r="G22">
        <v>185</v>
      </c>
      <c r="H22">
        <v>242.24</v>
      </c>
      <c r="I22">
        <v>213.93</v>
      </c>
      <c r="J22">
        <v>44814.400000000001</v>
      </c>
      <c r="K22">
        <f t="shared" si="0"/>
        <v>5237.3500000000004</v>
      </c>
    </row>
    <row r="23" spans="1:11" x14ac:dyDescent="0.45">
      <c r="A23" t="s">
        <v>11</v>
      </c>
      <c r="B23" t="s">
        <v>18</v>
      </c>
      <c r="C23" t="s">
        <v>19</v>
      </c>
      <c r="D23" t="s">
        <v>24</v>
      </c>
      <c r="E23" t="s">
        <v>15</v>
      </c>
      <c r="F23" s="7">
        <v>44946</v>
      </c>
      <c r="G23">
        <v>99</v>
      </c>
      <c r="H23">
        <v>309.79000000000002</v>
      </c>
      <c r="I23">
        <v>289.13</v>
      </c>
      <c r="J23">
        <v>30669.21</v>
      </c>
      <c r="K23">
        <f t="shared" si="0"/>
        <v>2045.3400000000024</v>
      </c>
    </row>
    <row r="24" spans="1:11" x14ac:dyDescent="0.45">
      <c r="A24" t="s">
        <v>48</v>
      </c>
      <c r="B24" t="s">
        <v>12</v>
      </c>
      <c r="C24" t="s">
        <v>42</v>
      </c>
      <c r="D24" t="s">
        <v>24</v>
      </c>
      <c r="E24" t="s">
        <v>28</v>
      </c>
      <c r="F24" s="7">
        <v>44947</v>
      </c>
      <c r="G24">
        <v>411</v>
      </c>
      <c r="H24">
        <v>167.86</v>
      </c>
      <c r="I24">
        <v>58.23</v>
      </c>
      <c r="J24">
        <v>68990.460000000006</v>
      </c>
      <c r="K24">
        <f t="shared" si="0"/>
        <v>45057.930000000008</v>
      </c>
    </row>
    <row r="25" spans="1:11" x14ac:dyDescent="0.45">
      <c r="A25" t="s">
        <v>22</v>
      </c>
      <c r="B25" t="s">
        <v>50</v>
      </c>
      <c r="C25" t="s">
        <v>19</v>
      </c>
      <c r="D25" t="s">
        <v>24</v>
      </c>
      <c r="E25" t="s">
        <v>15</v>
      </c>
      <c r="F25" s="7">
        <v>44948</v>
      </c>
      <c r="G25">
        <v>463</v>
      </c>
      <c r="H25">
        <v>237.74</v>
      </c>
      <c r="I25">
        <v>86.37</v>
      </c>
      <c r="J25">
        <v>110073.62</v>
      </c>
      <c r="K25">
        <f t="shared" si="0"/>
        <v>70084.31</v>
      </c>
    </row>
    <row r="26" spans="1:11" x14ac:dyDescent="0.45">
      <c r="A26" t="s">
        <v>48</v>
      </c>
      <c r="B26" t="s">
        <v>50</v>
      </c>
      <c r="C26" t="s">
        <v>42</v>
      </c>
      <c r="D26" t="s">
        <v>14</v>
      </c>
      <c r="E26" t="s">
        <v>20</v>
      </c>
      <c r="F26" s="7">
        <v>44949</v>
      </c>
      <c r="G26">
        <v>46</v>
      </c>
      <c r="H26">
        <v>373.42</v>
      </c>
      <c r="I26">
        <v>327.86</v>
      </c>
      <c r="J26">
        <v>17177.32</v>
      </c>
      <c r="K26">
        <f t="shared" si="0"/>
        <v>2095.7600000000002</v>
      </c>
    </row>
    <row r="27" spans="1:11" x14ac:dyDescent="0.45">
      <c r="A27" t="s">
        <v>17</v>
      </c>
      <c r="B27" t="s">
        <v>31</v>
      </c>
      <c r="C27" t="s">
        <v>42</v>
      </c>
      <c r="D27" t="s">
        <v>24</v>
      </c>
      <c r="E27" t="s">
        <v>28</v>
      </c>
      <c r="F27" s="7">
        <v>44950</v>
      </c>
      <c r="G27">
        <v>325</v>
      </c>
      <c r="H27">
        <v>436.56</v>
      </c>
      <c r="I27">
        <v>130.37</v>
      </c>
      <c r="J27">
        <v>141882</v>
      </c>
      <c r="K27">
        <f t="shared" si="0"/>
        <v>99511.75</v>
      </c>
    </row>
    <row r="28" spans="1:11" x14ac:dyDescent="0.45">
      <c r="A28" t="s">
        <v>17</v>
      </c>
      <c r="B28" t="s">
        <v>18</v>
      </c>
      <c r="C28" t="s">
        <v>13</v>
      </c>
      <c r="D28" t="s">
        <v>24</v>
      </c>
      <c r="E28" t="s">
        <v>28</v>
      </c>
      <c r="F28" s="7">
        <v>44951</v>
      </c>
      <c r="G28">
        <v>185</v>
      </c>
      <c r="H28">
        <v>219.66</v>
      </c>
      <c r="I28">
        <v>11.11</v>
      </c>
      <c r="J28">
        <v>40637.1</v>
      </c>
      <c r="K28">
        <f t="shared" si="0"/>
        <v>38581.75</v>
      </c>
    </row>
    <row r="29" spans="1:11" x14ac:dyDescent="0.45">
      <c r="A29" t="s">
        <v>48</v>
      </c>
      <c r="B29" t="s">
        <v>18</v>
      </c>
      <c r="C29" t="s">
        <v>13</v>
      </c>
      <c r="D29" t="s">
        <v>24</v>
      </c>
      <c r="E29" t="s">
        <v>15</v>
      </c>
      <c r="F29" s="7">
        <v>44952</v>
      </c>
      <c r="G29">
        <v>470</v>
      </c>
      <c r="H29">
        <v>26.61</v>
      </c>
      <c r="I29">
        <v>63.21</v>
      </c>
      <c r="J29">
        <v>12506.7</v>
      </c>
      <c r="K29">
        <f t="shared" si="0"/>
        <v>-17202</v>
      </c>
    </row>
    <row r="30" spans="1:11" x14ac:dyDescent="0.45">
      <c r="A30" t="s">
        <v>48</v>
      </c>
      <c r="B30" t="s">
        <v>31</v>
      </c>
      <c r="C30" t="s">
        <v>27</v>
      </c>
      <c r="D30" t="s">
        <v>14</v>
      </c>
      <c r="E30" t="s">
        <v>28</v>
      </c>
      <c r="F30" s="7">
        <v>44953</v>
      </c>
      <c r="G30">
        <v>293</v>
      </c>
      <c r="H30">
        <v>85.03</v>
      </c>
      <c r="I30">
        <v>91</v>
      </c>
      <c r="J30">
        <v>24913.79</v>
      </c>
      <c r="K30">
        <f t="shared" si="0"/>
        <v>-1749.2099999999996</v>
      </c>
    </row>
    <row r="31" spans="1:11" x14ac:dyDescent="0.45">
      <c r="A31" t="s">
        <v>48</v>
      </c>
      <c r="B31" t="s">
        <v>31</v>
      </c>
      <c r="C31" t="s">
        <v>19</v>
      </c>
      <c r="D31" t="s">
        <v>14</v>
      </c>
      <c r="E31" t="s">
        <v>28</v>
      </c>
      <c r="F31" s="7">
        <v>44954</v>
      </c>
      <c r="G31">
        <v>462</v>
      </c>
      <c r="H31">
        <v>255.39500000000001</v>
      </c>
      <c r="I31">
        <v>383.01</v>
      </c>
      <c r="J31">
        <v>117992.49</v>
      </c>
      <c r="K31">
        <f t="shared" si="0"/>
        <v>-58958.12999999999</v>
      </c>
    </row>
    <row r="32" spans="1:11" x14ac:dyDescent="0.45">
      <c r="A32" t="s">
        <v>17</v>
      </c>
      <c r="B32" t="s">
        <v>31</v>
      </c>
      <c r="C32" t="s">
        <v>13</v>
      </c>
      <c r="D32" t="s">
        <v>24</v>
      </c>
      <c r="E32" t="s">
        <v>20</v>
      </c>
      <c r="F32" s="7">
        <v>44955</v>
      </c>
      <c r="G32">
        <v>470</v>
      </c>
      <c r="H32">
        <v>328.37</v>
      </c>
      <c r="I32">
        <v>230.07</v>
      </c>
      <c r="J32">
        <v>154333.9</v>
      </c>
      <c r="K32">
        <f t="shared" si="0"/>
        <v>46201.000000000007</v>
      </c>
    </row>
    <row r="33" spans="1:11" x14ac:dyDescent="0.45">
      <c r="A33" t="s">
        <v>17</v>
      </c>
      <c r="B33" t="s">
        <v>12</v>
      </c>
      <c r="C33" t="s">
        <v>13</v>
      </c>
      <c r="D33" t="s">
        <v>14</v>
      </c>
      <c r="E33" t="s">
        <v>28</v>
      </c>
      <c r="F33" s="7">
        <v>44956</v>
      </c>
      <c r="G33">
        <v>90</v>
      </c>
      <c r="H33">
        <v>169.5</v>
      </c>
      <c r="I33">
        <v>373.23</v>
      </c>
      <c r="J33">
        <v>15255</v>
      </c>
      <c r="K33">
        <f t="shared" si="0"/>
        <v>-18335.7</v>
      </c>
    </row>
    <row r="34" spans="1:11" x14ac:dyDescent="0.45">
      <c r="A34" t="s">
        <v>17</v>
      </c>
      <c r="B34" t="s">
        <v>18</v>
      </c>
      <c r="C34" t="s">
        <v>13</v>
      </c>
      <c r="D34" t="s">
        <v>14</v>
      </c>
      <c r="E34" t="s">
        <v>20</v>
      </c>
      <c r="F34" s="7">
        <v>44957</v>
      </c>
      <c r="G34">
        <v>123</v>
      </c>
      <c r="H34">
        <v>273.52999999999997</v>
      </c>
      <c r="I34">
        <v>230.92</v>
      </c>
      <c r="J34">
        <v>33644.19</v>
      </c>
      <c r="K34">
        <f t="shared" si="0"/>
        <v>5241.0299999999979</v>
      </c>
    </row>
    <row r="35" spans="1:11" x14ac:dyDescent="0.45">
      <c r="A35" t="s">
        <v>22</v>
      </c>
      <c r="B35" t="s">
        <v>12</v>
      </c>
      <c r="C35" t="s">
        <v>13</v>
      </c>
      <c r="D35" t="s">
        <v>14</v>
      </c>
      <c r="E35" t="s">
        <v>15</v>
      </c>
      <c r="F35" s="7">
        <v>44958</v>
      </c>
      <c r="G35">
        <v>49</v>
      </c>
      <c r="H35">
        <v>249.17</v>
      </c>
      <c r="I35">
        <v>192.78</v>
      </c>
      <c r="J35">
        <v>12209.33</v>
      </c>
      <c r="K35">
        <f t="shared" si="0"/>
        <v>2763.1099999999992</v>
      </c>
    </row>
    <row r="36" spans="1:11" x14ac:dyDescent="0.45">
      <c r="A36" t="s">
        <v>17</v>
      </c>
      <c r="B36" t="s">
        <v>31</v>
      </c>
      <c r="C36" t="s">
        <v>13</v>
      </c>
      <c r="D36" t="s">
        <v>14</v>
      </c>
      <c r="E36" t="s">
        <v>28</v>
      </c>
      <c r="F36" s="7">
        <v>44959</v>
      </c>
      <c r="G36">
        <v>310</v>
      </c>
      <c r="H36">
        <v>45.36</v>
      </c>
      <c r="I36">
        <v>126.86</v>
      </c>
      <c r="J36">
        <v>14061.6</v>
      </c>
      <c r="K36">
        <f t="shared" si="0"/>
        <v>-25265</v>
      </c>
    </row>
    <row r="37" spans="1:11" x14ac:dyDescent="0.45">
      <c r="A37" t="s">
        <v>48</v>
      </c>
      <c r="B37" t="s">
        <v>18</v>
      </c>
      <c r="C37" t="s">
        <v>23</v>
      </c>
      <c r="D37" t="s">
        <v>14</v>
      </c>
      <c r="E37" t="s">
        <v>20</v>
      </c>
      <c r="F37" s="7">
        <v>44960</v>
      </c>
      <c r="G37">
        <v>233</v>
      </c>
      <c r="H37">
        <v>204.61</v>
      </c>
      <c r="I37">
        <v>243.34</v>
      </c>
      <c r="J37">
        <v>47674.13</v>
      </c>
      <c r="K37">
        <f t="shared" si="0"/>
        <v>-9024.0899999999983</v>
      </c>
    </row>
    <row r="38" spans="1:11" x14ac:dyDescent="0.45">
      <c r="A38" t="s">
        <v>48</v>
      </c>
      <c r="B38" t="s">
        <v>12</v>
      </c>
      <c r="C38" t="s">
        <v>19</v>
      </c>
      <c r="D38" t="s">
        <v>14</v>
      </c>
      <c r="E38" t="s">
        <v>15</v>
      </c>
      <c r="F38" s="7">
        <v>44961</v>
      </c>
      <c r="G38">
        <v>327</v>
      </c>
      <c r="H38">
        <v>114.18</v>
      </c>
      <c r="I38">
        <v>57.4</v>
      </c>
      <c r="J38">
        <v>37336.86</v>
      </c>
      <c r="K38">
        <f t="shared" si="0"/>
        <v>18567.060000000001</v>
      </c>
    </row>
    <row r="39" spans="1:11" x14ac:dyDescent="0.45">
      <c r="A39" t="s">
        <v>22</v>
      </c>
      <c r="B39" t="s">
        <v>12</v>
      </c>
      <c r="C39" t="s">
        <v>13</v>
      </c>
      <c r="D39" t="s">
        <v>14</v>
      </c>
      <c r="E39" t="s">
        <v>28</v>
      </c>
      <c r="F39" s="7">
        <v>44962</v>
      </c>
      <c r="G39">
        <v>358</v>
      </c>
      <c r="H39">
        <v>212.11</v>
      </c>
      <c r="I39">
        <v>359.51</v>
      </c>
      <c r="J39">
        <v>75935.38</v>
      </c>
      <c r="K39">
        <f t="shared" si="0"/>
        <v>-52769.19999999999</v>
      </c>
    </row>
    <row r="40" spans="1:11" x14ac:dyDescent="0.45">
      <c r="A40" t="s">
        <v>17</v>
      </c>
      <c r="B40" t="s">
        <v>31</v>
      </c>
      <c r="C40" t="s">
        <v>19</v>
      </c>
      <c r="D40" t="s">
        <v>14</v>
      </c>
      <c r="E40" t="s">
        <v>15</v>
      </c>
      <c r="F40" s="7">
        <v>44963</v>
      </c>
      <c r="G40">
        <v>124</v>
      </c>
      <c r="H40">
        <v>255.39500000000001</v>
      </c>
      <c r="I40">
        <v>332.07</v>
      </c>
      <c r="J40">
        <v>31668.98</v>
      </c>
      <c r="K40">
        <f t="shared" si="0"/>
        <v>-9507.6999999999971</v>
      </c>
    </row>
    <row r="41" spans="1:11" x14ac:dyDescent="0.45">
      <c r="A41" t="s">
        <v>22</v>
      </c>
      <c r="B41" t="s">
        <v>18</v>
      </c>
      <c r="C41" t="s">
        <v>23</v>
      </c>
      <c r="D41" t="s">
        <v>14</v>
      </c>
      <c r="E41" t="s">
        <v>28</v>
      </c>
      <c r="F41" s="7">
        <v>44964</v>
      </c>
      <c r="G41">
        <v>195</v>
      </c>
      <c r="H41">
        <v>421.02</v>
      </c>
      <c r="I41">
        <v>128.38</v>
      </c>
      <c r="J41">
        <v>82098.899999999994</v>
      </c>
      <c r="K41">
        <f t="shared" si="0"/>
        <v>57064.799999999996</v>
      </c>
    </row>
    <row r="42" spans="1:11" x14ac:dyDescent="0.45">
      <c r="A42" t="s">
        <v>22</v>
      </c>
      <c r="B42" t="s">
        <v>31</v>
      </c>
      <c r="C42" t="s">
        <v>23</v>
      </c>
      <c r="D42" t="s">
        <v>14</v>
      </c>
      <c r="E42" t="s">
        <v>15</v>
      </c>
      <c r="F42" s="7">
        <v>44965</v>
      </c>
      <c r="G42">
        <v>248.5</v>
      </c>
      <c r="H42">
        <v>91.23</v>
      </c>
      <c r="I42">
        <v>381.21</v>
      </c>
      <c r="J42">
        <v>22670.654999999999</v>
      </c>
      <c r="K42">
        <f t="shared" si="0"/>
        <v>-72060.029999999984</v>
      </c>
    </row>
    <row r="43" spans="1:11" x14ac:dyDescent="0.45">
      <c r="A43" t="s">
        <v>11</v>
      </c>
      <c r="B43" t="s">
        <v>18</v>
      </c>
      <c r="C43" t="s">
        <v>19</v>
      </c>
      <c r="D43" t="s">
        <v>24</v>
      </c>
      <c r="E43" t="s">
        <v>15</v>
      </c>
      <c r="F43" s="7">
        <v>44966</v>
      </c>
      <c r="G43">
        <v>65</v>
      </c>
      <c r="H43">
        <v>480.59</v>
      </c>
      <c r="I43">
        <v>330.43</v>
      </c>
      <c r="J43">
        <v>31238.35</v>
      </c>
      <c r="K43">
        <f t="shared" si="0"/>
        <v>9760.3999999999978</v>
      </c>
    </row>
    <row r="44" spans="1:11" x14ac:dyDescent="0.45">
      <c r="A44" t="s">
        <v>11</v>
      </c>
      <c r="B44" t="s">
        <v>50</v>
      </c>
      <c r="C44" t="s">
        <v>42</v>
      </c>
      <c r="D44" t="s">
        <v>24</v>
      </c>
      <c r="E44" t="s">
        <v>20</v>
      </c>
      <c r="F44" s="7">
        <v>44967</v>
      </c>
      <c r="G44">
        <v>49</v>
      </c>
      <c r="H44">
        <v>210.87</v>
      </c>
      <c r="I44">
        <v>267.19</v>
      </c>
      <c r="J44">
        <v>10332.629999999999</v>
      </c>
      <c r="K44">
        <f t="shared" si="0"/>
        <v>-2759.68</v>
      </c>
    </row>
    <row r="45" spans="1:11" x14ac:dyDescent="0.45">
      <c r="A45" t="s">
        <v>11</v>
      </c>
      <c r="B45" t="s">
        <v>26</v>
      </c>
      <c r="C45" t="s">
        <v>27</v>
      </c>
      <c r="D45" t="s">
        <v>14</v>
      </c>
      <c r="E45" t="s">
        <v>15</v>
      </c>
      <c r="F45" s="7">
        <v>44968</v>
      </c>
      <c r="G45">
        <v>363</v>
      </c>
      <c r="H45">
        <v>423.89</v>
      </c>
      <c r="I45">
        <v>50.46</v>
      </c>
      <c r="J45">
        <v>153872.07</v>
      </c>
      <c r="K45">
        <f t="shared" si="0"/>
        <v>135555.09</v>
      </c>
    </row>
    <row r="46" spans="1:11" x14ac:dyDescent="0.45">
      <c r="A46" t="s">
        <v>48</v>
      </c>
      <c r="B46" t="s">
        <v>26</v>
      </c>
      <c r="C46" t="s">
        <v>42</v>
      </c>
      <c r="D46" t="s">
        <v>24</v>
      </c>
      <c r="E46" t="s">
        <v>28</v>
      </c>
      <c r="F46" s="7">
        <v>44969</v>
      </c>
      <c r="G46">
        <v>49</v>
      </c>
      <c r="H46">
        <v>316.24</v>
      </c>
      <c r="I46">
        <v>192.34</v>
      </c>
      <c r="J46">
        <v>15495.76</v>
      </c>
      <c r="K46">
        <f t="shared" si="0"/>
        <v>6071.1</v>
      </c>
    </row>
    <row r="47" spans="1:11" x14ac:dyDescent="0.45">
      <c r="A47" t="s">
        <v>17</v>
      </c>
      <c r="B47" t="s">
        <v>26</v>
      </c>
      <c r="C47" t="s">
        <v>42</v>
      </c>
      <c r="D47" t="s">
        <v>24</v>
      </c>
      <c r="E47" t="s">
        <v>28</v>
      </c>
      <c r="F47" s="7">
        <v>44970</v>
      </c>
      <c r="G47">
        <v>356</v>
      </c>
      <c r="H47">
        <v>369</v>
      </c>
      <c r="I47">
        <v>203.43</v>
      </c>
      <c r="J47">
        <v>131364</v>
      </c>
      <c r="K47">
        <f t="shared" si="0"/>
        <v>58942.92</v>
      </c>
    </row>
    <row r="48" spans="1:11" x14ac:dyDescent="0.45">
      <c r="A48" t="s">
        <v>17</v>
      </c>
      <c r="B48" t="s">
        <v>31</v>
      </c>
      <c r="C48" t="s">
        <v>42</v>
      </c>
      <c r="D48" t="s">
        <v>14</v>
      </c>
      <c r="E48" t="s">
        <v>20</v>
      </c>
      <c r="F48" s="7">
        <v>44971</v>
      </c>
      <c r="G48">
        <v>470</v>
      </c>
      <c r="H48">
        <v>255.39500000000001</v>
      </c>
      <c r="I48">
        <v>94.56</v>
      </c>
      <c r="J48">
        <v>120035.65</v>
      </c>
      <c r="K48">
        <f t="shared" si="0"/>
        <v>75592.45</v>
      </c>
    </row>
    <row r="49" spans="1:11" x14ac:dyDescent="0.45">
      <c r="A49" t="s">
        <v>17</v>
      </c>
      <c r="B49" t="s">
        <v>50</v>
      </c>
      <c r="C49" t="s">
        <v>13</v>
      </c>
      <c r="D49" t="s">
        <v>14</v>
      </c>
      <c r="E49" t="s">
        <v>28</v>
      </c>
      <c r="F49" s="7">
        <v>44972</v>
      </c>
      <c r="G49">
        <v>246</v>
      </c>
      <c r="H49">
        <v>254.9</v>
      </c>
      <c r="I49">
        <v>33.83</v>
      </c>
      <c r="J49">
        <v>62705.4</v>
      </c>
      <c r="K49">
        <f t="shared" si="0"/>
        <v>54383.22</v>
      </c>
    </row>
    <row r="50" spans="1:11" x14ac:dyDescent="0.45">
      <c r="A50" t="s">
        <v>17</v>
      </c>
      <c r="B50" t="s">
        <v>18</v>
      </c>
      <c r="C50" t="s">
        <v>23</v>
      </c>
      <c r="D50" t="s">
        <v>14</v>
      </c>
      <c r="E50" t="s">
        <v>28</v>
      </c>
      <c r="F50" s="7">
        <v>44973</v>
      </c>
      <c r="G50">
        <v>298</v>
      </c>
      <c r="H50">
        <v>273.93</v>
      </c>
      <c r="I50">
        <v>311.14</v>
      </c>
      <c r="J50">
        <v>81631.14</v>
      </c>
      <c r="K50">
        <f t="shared" si="0"/>
        <v>-11088.579999999994</v>
      </c>
    </row>
    <row r="51" spans="1:11" x14ac:dyDescent="0.45">
      <c r="A51" t="s">
        <v>11</v>
      </c>
      <c r="B51" t="s">
        <v>12</v>
      </c>
      <c r="C51" t="s">
        <v>42</v>
      </c>
      <c r="D51" t="s">
        <v>24</v>
      </c>
      <c r="E51" t="s">
        <v>28</v>
      </c>
      <c r="F51" s="7">
        <v>44974</v>
      </c>
      <c r="G51">
        <v>271</v>
      </c>
      <c r="H51">
        <v>259.43</v>
      </c>
      <c r="I51">
        <v>50.57</v>
      </c>
      <c r="J51">
        <v>70305.53</v>
      </c>
      <c r="K51">
        <f t="shared" si="0"/>
        <v>56601.060000000005</v>
      </c>
    </row>
    <row r="52" spans="1:11" x14ac:dyDescent="0.45">
      <c r="A52" t="s">
        <v>48</v>
      </c>
      <c r="B52" t="s">
        <v>18</v>
      </c>
      <c r="C52" t="s">
        <v>23</v>
      </c>
      <c r="D52" t="s">
        <v>24</v>
      </c>
      <c r="E52" t="s">
        <v>15</v>
      </c>
      <c r="F52" s="7">
        <v>44975</v>
      </c>
      <c r="G52">
        <v>225</v>
      </c>
      <c r="H52">
        <v>296.08999999999997</v>
      </c>
      <c r="I52">
        <v>238.53</v>
      </c>
      <c r="J52">
        <v>66620.25</v>
      </c>
      <c r="K52">
        <f t="shared" si="0"/>
        <v>12950.999999999995</v>
      </c>
    </row>
    <row r="53" spans="1:11" x14ac:dyDescent="0.45">
      <c r="A53" t="s">
        <v>17</v>
      </c>
      <c r="B53" t="s">
        <v>12</v>
      </c>
      <c r="C53" t="s">
        <v>19</v>
      </c>
      <c r="D53" t="s">
        <v>14</v>
      </c>
      <c r="E53" t="s">
        <v>15</v>
      </c>
      <c r="F53" s="7">
        <v>44976</v>
      </c>
      <c r="G53">
        <v>156</v>
      </c>
      <c r="H53">
        <v>19.55</v>
      </c>
      <c r="I53">
        <v>374.71</v>
      </c>
      <c r="J53">
        <v>3049.8</v>
      </c>
      <c r="K53">
        <f t="shared" si="0"/>
        <v>-55404.959999999992</v>
      </c>
    </row>
    <row r="54" spans="1:11" x14ac:dyDescent="0.45">
      <c r="A54" t="s">
        <v>11</v>
      </c>
      <c r="B54" t="s">
        <v>18</v>
      </c>
      <c r="C54" t="s">
        <v>27</v>
      </c>
      <c r="D54" t="s">
        <v>14</v>
      </c>
      <c r="E54" t="s">
        <v>28</v>
      </c>
      <c r="F54" s="7">
        <v>44977</v>
      </c>
      <c r="G54">
        <v>345</v>
      </c>
      <c r="H54">
        <v>200.78</v>
      </c>
      <c r="I54">
        <v>350.69</v>
      </c>
      <c r="J54">
        <v>69269.100000000006</v>
      </c>
      <c r="K54">
        <f t="shared" si="0"/>
        <v>-51718.95</v>
      </c>
    </row>
    <row r="55" spans="1:11" x14ac:dyDescent="0.45">
      <c r="A55" t="s">
        <v>48</v>
      </c>
      <c r="B55" t="s">
        <v>50</v>
      </c>
      <c r="C55" t="s">
        <v>19</v>
      </c>
      <c r="D55" t="s">
        <v>14</v>
      </c>
      <c r="E55" t="s">
        <v>20</v>
      </c>
      <c r="F55" s="7">
        <v>44978</v>
      </c>
      <c r="G55">
        <v>177</v>
      </c>
      <c r="H55">
        <v>305.06</v>
      </c>
      <c r="I55">
        <v>112.55</v>
      </c>
      <c r="J55">
        <v>53995.62</v>
      </c>
      <c r="K55">
        <f t="shared" si="0"/>
        <v>34074.269999999997</v>
      </c>
    </row>
    <row r="56" spans="1:11" x14ac:dyDescent="0.45">
      <c r="A56" t="s">
        <v>11</v>
      </c>
      <c r="B56" t="s">
        <v>12</v>
      </c>
      <c r="C56" t="s">
        <v>19</v>
      </c>
      <c r="D56" t="s">
        <v>24</v>
      </c>
      <c r="E56" t="s">
        <v>15</v>
      </c>
      <c r="F56" s="7">
        <v>44979</v>
      </c>
      <c r="G56">
        <v>101</v>
      </c>
      <c r="H56">
        <v>300.87</v>
      </c>
      <c r="I56">
        <v>340.88</v>
      </c>
      <c r="J56">
        <v>30387.87</v>
      </c>
      <c r="K56">
        <f t="shared" si="0"/>
        <v>-4041.0099999999993</v>
      </c>
    </row>
    <row r="57" spans="1:11" x14ac:dyDescent="0.45">
      <c r="A57" t="s">
        <v>17</v>
      </c>
      <c r="B57" t="s">
        <v>31</v>
      </c>
      <c r="C57" t="s">
        <v>13</v>
      </c>
      <c r="D57" t="s">
        <v>24</v>
      </c>
      <c r="E57" t="s">
        <v>20</v>
      </c>
      <c r="F57" s="7">
        <v>44980</v>
      </c>
      <c r="G57">
        <v>362</v>
      </c>
      <c r="H57">
        <v>397.51</v>
      </c>
      <c r="I57">
        <v>2.13</v>
      </c>
      <c r="J57">
        <v>143898.62</v>
      </c>
      <c r="K57">
        <f t="shared" si="0"/>
        <v>143127.56</v>
      </c>
    </row>
    <row r="58" spans="1:11" x14ac:dyDescent="0.45">
      <c r="A58" t="s">
        <v>11</v>
      </c>
      <c r="B58" t="s">
        <v>18</v>
      </c>
      <c r="C58" t="s">
        <v>27</v>
      </c>
      <c r="D58" t="s">
        <v>24</v>
      </c>
      <c r="E58" t="s">
        <v>28</v>
      </c>
      <c r="F58" s="7">
        <v>44981</v>
      </c>
      <c r="G58">
        <v>68</v>
      </c>
      <c r="H58">
        <v>329.23</v>
      </c>
      <c r="I58">
        <v>9.0399999999999991</v>
      </c>
      <c r="J58">
        <v>22387.64</v>
      </c>
      <c r="K58">
        <f t="shared" si="0"/>
        <v>21772.92</v>
      </c>
    </row>
    <row r="59" spans="1:11" x14ac:dyDescent="0.45">
      <c r="A59" t="s">
        <v>17</v>
      </c>
      <c r="B59" t="s">
        <v>18</v>
      </c>
      <c r="C59" t="s">
        <v>19</v>
      </c>
      <c r="D59" t="s">
        <v>24</v>
      </c>
      <c r="E59" t="s">
        <v>28</v>
      </c>
      <c r="F59" s="7">
        <v>44982</v>
      </c>
      <c r="G59">
        <v>68</v>
      </c>
      <c r="H59">
        <v>496.11</v>
      </c>
      <c r="I59">
        <v>241.82</v>
      </c>
      <c r="J59">
        <v>33735.480000000003</v>
      </c>
      <c r="K59">
        <f t="shared" si="0"/>
        <v>17291.72</v>
      </c>
    </row>
    <row r="60" spans="1:11" x14ac:dyDescent="0.45">
      <c r="A60" t="s">
        <v>17</v>
      </c>
      <c r="B60" t="s">
        <v>12</v>
      </c>
      <c r="C60" t="s">
        <v>19</v>
      </c>
      <c r="D60" t="s">
        <v>14</v>
      </c>
      <c r="E60" t="s">
        <v>15</v>
      </c>
      <c r="F60" s="7">
        <v>44983</v>
      </c>
      <c r="G60">
        <v>313</v>
      </c>
      <c r="H60">
        <v>145.51</v>
      </c>
      <c r="I60">
        <v>147.19</v>
      </c>
      <c r="J60">
        <v>45544.63</v>
      </c>
      <c r="K60">
        <f t="shared" si="0"/>
        <v>-525.84000000000219</v>
      </c>
    </row>
    <row r="61" spans="1:11" x14ac:dyDescent="0.45">
      <c r="A61" t="s">
        <v>22</v>
      </c>
      <c r="B61" t="s">
        <v>31</v>
      </c>
      <c r="C61" t="s">
        <v>27</v>
      </c>
      <c r="D61" t="s">
        <v>14</v>
      </c>
      <c r="E61" t="s">
        <v>28</v>
      </c>
      <c r="F61" s="7">
        <v>44984</v>
      </c>
      <c r="G61">
        <v>178</v>
      </c>
      <c r="H61">
        <v>182.78</v>
      </c>
      <c r="I61">
        <v>155.81</v>
      </c>
      <c r="J61">
        <v>32534.84</v>
      </c>
      <c r="K61">
        <f t="shared" si="0"/>
        <v>4800.66</v>
      </c>
    </row>
    <row r="62" spans="1:11" x14ac:dyDescent="0.45">
      <c r="A62" t="s">
        <v>11</v>
      </c>
      <c r="B62" t="s">
        <v>31</v>
      </c>
      <c r="C62" t="s">
        <v>27</v>
      </c>
      <c r="D62" t="s">
        <v>14</v>
      </c>
      <c r="E62" t="s">
        <v>15</v>
      </c>
      <c r="F62" s="7">
        <v>44985</v>
      </c>
      <c r="G62">
        <v>278</v>
      </c>
      <c r="H62">
        <v>195</v>
      </c>
      <c r="I62">
        <v>226.65</v>
      </c>
      <c r="J62">
        <v>54210</v>
      </c>
      <c r="K62">
        <f t="shared" si="0"/>
        <v>-8798.7000000000007</v>
      </c>
    </row>
    <row r="63" spans="1:11" x14ac:dyDescent="0.45">
      <c r="A63" t="s">
        <v>22</v>
      </c>
      <c r="B63" t="s">
        <v>50</v>
      </c>
      <c r="C63" t="s">
        <v>19</v>
      </c>
      <c r="D63" t="s">
        <v>14</v>
      </c>
      <c r="E63" t="s">
        <v>28</v>
      </c>
      <c r="F63" s="7">
        <v>44986</v>
      </c>
      <c r="G63">
        <v>372</v>
      </c>
      <c r="H63">
        <v>235.58</v>
      </c>
      <c r="I63">
        <v>78.33</v>
      </c>
      <c r="J63">
        <v>87635.760000000009</v>
      </c>
      <c r="K63">
        <f t="shared" si="0"/>
        <v>58497</v>
      </c>
    </row>
    <row r="64" spans="1:11" x14ac:dyDescent="0.45">
      <c r="A64" t="s">
        <v>11</v>
      </c>
      <c r="B64" t="s">
        <v>31</v>
      </c>
      <c r="C64" t="s">
        <v>27</v>
      </c>
      <c r="D64" t="s">
        <v>24</v>
      </c>
      <c r="E64" t="s">
        <v>28</v>
      </c>
      <c r="F64" s="7">
        <v>44987</v>
      </c>
      <c r="G64">
        <v>54</v>
      </c>
      <c r="H64">
        <v>418.82</v>
      </c>
      <c r="I64">
        <v>86.28</v>
      </c>
      <c r="J64">
        <v>22616.28</v>
      </c>
      <c r="K64">
        <f t="shared" si="0"/>
        <v>17957.159999999996</v>
      </c>
    </row>
    <row r="65" spans="1:11" x14ac:dyDescent="0.45">
      <c r="A65" t="s">
        <v>11</v>
      </c>
      <c r="B65" t="s">
        <v>31</v>
      </c>
      <c r="C65" t="s">
        <v>19</v>
      </c>
      <c r="D65" t="s">
        <v>24</v>
      </c>
      <c r="E65" t="s">
        <v>15</v>
      </c>
      <c r="F65" s="7">
        <v>44988</v>
      </c>
      <c r="G65">
        <v>354</v>
      </c>
      <c r="H65">
        <v>121.72</v>
      </c>
      <c r="I65">
        <v>194.87</v>
      </c>
      <c r="J65">
        <v>43088.88</v>
      </c>
      <c r="K65">
        <f t="shared" si="0"/>
        <v>-25895.100000000002</v>
      </c>
    </row>
    <row r="66" spans="1:11" x14ac:dyDescent="0.45">
      <c r="A66" t="s">
        <v>22</v>
      </c>
      <c r="B66" t="s">
        <v>31</v>
      </c>
      <c r="C66" t="s">
        <v>19</v>
      </c>
      <c r="D66" t="s">
        <v>14</v>
      </c>
      <c r="E66" t="s">
        <v>15</v>
      </c>
      <c r="F66" s="7">
        <v>44989</v>
      </c>
      <c r="G66">
        <v>190</v>
      </c>
      <c r="H66">
        <v>389.12</v>
      </c>
      <c r="I66">
        <v>302.19</v>
      </c>
      <c r="J66">
        <v>73932.800000000003</v>
      </c>
      <c r="K66">
        <f t="shared" si="0"/>
        <v>16516.7</v>
      </c>
    </row>
    <row r="67" spans="1:11" x14ac:dyDescent="0.45">
      <c r="A67" t="s">
        <v>17</v>
      </c>
      <c r="B67" t="s">
        <v>26</v>
      </c>
      <c r="C67" t="s">
        <v>13</v>
      </c>
      <c r="D67" t="s">
        <v>14</v>
      </c>
      <c r="E67" t="s">
        <v>15</v>
      </c>
      <c r="F67" s="7">
        <v>44990</v>
      </c>
      <c r="G67">
        <v>179</v>
      </c>
      <c r="H67">
        <v>205.63</v>
      </c>
      <c r="I67">
        <v>248.56</v>
      </c>
      <c r="J67">
        <v>36807.769999999997</v>
      </c>
      <c r="K67">
        <f t="shared" si="0"/>
        <v>-7684.4700000000012</v>
      </c>
    </row>
    <row r="68" spans="1:11" x14ac:dyDescent="0.45">
      <c r="A68" t="s">
        <v>11</v>
      </c>
      <c r="B68" t="s">
        <v>50</v>
      </c>
      <c r="C68" t="s">
        <v>42</v>
      </c>
      <c r="D68" t="s">
        <v>24</v>
      </c>
      <c r="E68" t="s">
        <v>28</v>
      </c>
      <c r="F68" s="7">
        <v>44991</v>
      </c>
      <c r="G68">
        <v>365</v>
      </c>
      <c r="H68">
        <v>302.92</v>
      </c>
      <c r="I68">
        <v>120.35</v>
      </c>
      <c r="J68">
        <v>110565.8</v>
      </c>
      <c r="K68">
        <f t="shared" si="0"/>
        <v>66638.05</v>
      </c>
    </row>
    <row r="69" spans="1:11" x14ac:dyDescent="0.45">
      <c r="A69" t="s">
        <v>48</v>
      </c>
      <c r="B69" t="s">
        <v>18</v>
      </c>
      <c r="C69" t="s">
        <v>19</v>
      </c>
      <c r="D69" t="s">
        <v>14</v>
      </c>
      <c r="E69" t="s">
        <v>28</v>
      </c>
      <c r="F69" s="7">
        <v>44992</v>
      </c>
      <c r="G69">
        <v>200</v>
      </c>
      <c r="H69">
        <v>318.11</v>
      </c>
      <c r="I69">
        <v>173.27</v>
      </c>
      <c r="J69">
        <v>63622</v>
      </c>
      <c r="K69">
        <f t="shared" ref="K69:K132" si="1">(H69-I69)*G69</f>
        <v>28968</v>
      </c>
    </row>
    <row r="70" spans="1:11" x14ac:dyDescent="0.45">
      <c r="A70" t="s">
        <v>17</v>
      </c>
      <c r="B70" t="s">
        <v>12</v>
      </c>
      <c r="C70" t="s">
        <v>23</v>
      </c>
      <c r="D70" t="s">
        <v>24</v>
      </c>
      <c r="E70" t="s">
        <v>20</v>
      </c>
      <c r="F70" s="7">
        <v>44993</v>
      </c>
      <c r="G70">
        <v>164</v>
      </c>
      <c r="H70">
        <v>189.56</v>
      </c>
      <c r="I70">
        <v>69.92</v>
      </c>
      <c r="J70">
        <v>31087.84</v>
      </c>
      <c r="K70">
        <f t="shared" si="1"/>
        <v>19620.96</v>
      </c>
    </row>
    <row r="71" spans="1:11" x14ac:dyDescent="0.45">
      <c r="A71" t="s">
        <v>22</v>
      </c>
      <c r="B71" t="s">
        <v>18</v>
      </c>
      <c r="C71" t="s">
        <v>42</v>
      </c>
      <c r="D71" t="s">
        <v>14</v>
      </c>
      <c r="E71" t="s">
        <v>15</v>
      </c>
      <c r="F71" s="7">
        <v>44994</v>
      </c>
      <c r="G71">
        <v>431</v>
      </c>
      <c r="H71">
        <v>258.74</v>
      </c>
      <c r="I71">
        <v>31.7</v>
      </c>
      <c r="J71">
        <v>111516.94</v>
      </c>
      <c r="K71">
        <f t="shared" si="1"/>
        <v>97854.24</v>
      </c>
    </row>
    <row r="72" spans="1:11" x14ac:dyDescent="0.45">
      <c r="A72" t="s">
        <v>17</v>
      </c>
      <c r="B72" t="s">
        <v>50</v>
      </c>
      <c r="C72" t="s">
        <v>42</v>
      </c>
      <c r="D72" t="s">
        <v>14</v>
      </c>
      <c r="E72" t="s">
        <v>28</v>
      </c>
      <c r="F72" s="7">
        <v>44995</v>
      </c>
      <c r="G72">
        <v>197</v>
      </c>
      <c r="H72">
        <v>209.45</v>
      </c>
      <c r="I72">
        <v>313.51</v>
      </c>
      <c r="J72">
        <v>41261.649999999987</v>
      </c>
      <c r="K72">
        <f t="shared" si="1"/>
        <v>-20499.82</v>
      </c>
    </row>
    <row r="73" spans="1:11" x14ac:dyDescent="0.45">
      <c r="A73" t="s">
        <v>48</v>
      </c>
      <c r="B73" t="s">
        <v>12</v>
      </c>
      <c r="C73" t="s">
        <v>42</v>
      </c>
      <c r="D73" t="s">
        <v>14</v>
      </c>
      <c r="E73" t="s">
        <v>28</v>
      </c>
      <c r="F73" s="7">
        <v>44996</v>
      </c>
      <c r="G73">
        <v>16</v>
      </c>
      <c r="H73">
        <v>39.22</v>
      </c>
      <c r="I73">
        <v>107.62</v>
      </c>
      <c r="J73">
        <v>627.52</v>
      </c>
      <c r="K73">
        <f t="shared" si="1"/>
        <v>-1094.4000000000001</v>
      </c>
    </row>
    <row r="74" spans="1:11" x14ac:dyDescent="0.45">
      <c r="A74" t="s">
        <v>48</v>
      </c>
      <c r="B74" t="s">
        <v>50</v>
      </c>
      <c r="C74" t="s">
        <v>13</v>
      </c>
      <c r="D74" t="s">
        <v>14</v>
      </c>
      <c r="E74" t="s">
        <v>15</v>
      </c>
      <c r="F74" s="7">
        <v>44997</v>
      </c>
      <c r="G74">
        <v>142</v>
      </c>
      <c r="H74">
        <v>221.4</v>
      </c>
      <c r="I74">
        <v>72.75</v>
      </c>
      <c r="J74">
        <v>31438.799999999999</v>
      </c>
      <c r="K74">
        <f t="shared" si="1"/>
        <v>21108.3</v>
      </c>
    </row>
    <row r="75" spans="1:11" x14ac:dyDescent="0.45">
      <c r="A75" t="s">
        <v>48</v>
      </c>
      <c r="B75" t="s">
        <v>31</v>
      </c>
      <c r="C75" t="s">
        <v>19</v>
      </c>
      <c r="D75" t="s">
        <v>14</v>
      </c>
      <c r="E75" t="s">
        <v>20</v>
      </c>
      <c r="F75" s="7">
        <v>44998</v>
      </c>
      <c r="G75">
        <v>244</v>
      </c>
      <c r="H75">
        <v>53.21</v>
      </c>
      <c r="I75">
        <v>277.26</v>
      </c>
      <c r="J75">
        <v>12983.24</v>
      </c>
      <c r="K75">
        <f t="shared" si="1"/>
        <v>-54668.2</v>
      </c>
    </row>
    <row r="76" spans="1:11" x14ac:dyDescent="0.45">
      <c r="A76" t="s">
        <v>22</v>
      </c>
      <c r="B76" t="s">
        <v>12</v>
      </c>
      <c r="C76" t="s">
        <v>13</v>
      </c>
      <c r="D76" t="s">
        <v>14</v>
      </c>
      <c r="E76" t="s">
        <v>15</v>
      </c>
      <c r="F76" s="7">
        <v>44999</v>
      </c>
      <c r="G76">
        <v>54</v>
      </c>
      <c r="H76">
        <v>205.49</v>
      </c>
      <c r="I76">
        <v>247.98</v>
      </c>
      <c r="J76">
        <v>11096.46</v>
      </c>
      <c r="K76">
        <f t="shared" si="1"/>
        <v>-2294.4599999999991</v>
      </c>
    </row>
    <row r="77" spans="1:11" x14ac:dyDescent="0.45">
      <c r="A77" t="s">
        <v>48</v>
      </c>
      <c r="B77" t="s">
        <v>31</v>
      </c>
      <c r="C77" t="s">
        <v>19</v>
      </c>
      <c r="D77" t="s">
        <v>14</v>
      </c>
      <c r="E77" t="s">
        <v>20</v>
      </c>
      <c r="F77" s="7">
        <v>45000</v>
      </c>
      <c r="G77">
        <v>323</v>
      </c>
      <c r="H77">
        <v>298.49</v>
      </c>
      <c r="I77">
        <v>254.01</v>
      </c>
      <c r="J77">
        <v>96412.27</v>
      </c>
      <c r="K77">
        <f t="shared" si="1"/>
        <v>14367.040000000006</v>
      </c>
    </row>
    <row r="78" spans="1:11" x14ac:dyDescent="0.45">
      <c r="A78" t="s">
        <v>22</v>
      </c>
      <c r="B78" t="s">
        <v>18</v>
      </c>
      <c r="C78" t="s">
        <v>13</v>
      </c>
      <c r="D78" t="s">
        <v>24</v>
      </c>
      <c r="E78" t="s">
        <v>28</v>
      </c>
      <c r="F78" s="7">
        <v>45001</v>
      </c>
      <c r="G78">
        <v>258</v>
      </c>
      <c r="H78">
        <v>291.81</v>
      </c>
      <c r="I78">
        <v>93.1</v>
      </c>
      <c r="J78">
        <v>75286.98</v>
      </c>
      <c r="K78">
        <f t="shared" si="1"/>
        <v>51267.18</v>
      </c>
    </row>
    <row r="79" spans="1:11" x14ac:dyDescent="0.45">
      <c r="A79" t="s">
        <v>48</v>
      </c>
      <c r="B79" t="s">
        <v>18</v>
      </c>
      <c r="C79" t="s">
        <v>13</v>
      </c>
      <c r="D79" t="s">
        <v>24</v>
      </c>
      <c r="E79" t="s">
        <v>20</v>
      </c>
      <c r="F79" s="7">
        <v>45002</v>
      </c>
      <c r="G79">
        <v>40</v>
      </c>
      <c r="H79">
        <v>333</v>
      </c>
      <c r="I79">
        <v>94.59</v>
      </c>
      <c r="J79">
        <v>13320</v>
      </c>
      <c r="K79">
        <f t="shared" si="1"/>
        <v>9536.4</v>
      </c>
    </row>
    <row r="80" spans="1:11" x14ac:dyDescent="0.45">
      <c r="A80" t="s">
        <v>17</v>
      </c>
      <c r="B80" t="s">
        <v>12</v>
      </c>
      <c r="C80" t="s">
        <v>23</v>
      </c>
      <c r="D80" t="s">
        <v>24</v>
      </c>
      <c r="E80" t="s">
        <v>28</v>
      </c>
      <c r="F80" s="7">
        <v>45003</v>
      </c>
      <c r="G80">
        <v>32</v>
      </c>
      <c r="H80">
        <v>52.15</v>
      </c>
      <c r="I80">
        <v>89.88</v>
      </c>
      <c r="J80">
        <v>1668.8</v>
      </c>
      <c r="K80">
        <f t="shared" si="1"/>
        <v>-1207.3599999999999</v>
      </c>
    </row>
    <row r="81" spans="1:11" x14ac:dyDescent="0.45">
      <c r="A81" t="s">
        <v>17</v>
      </c>
      <c r="B81" t="s">
        <v>12</v>
      </c>
      <c r="C81" t="s">
        <v>13</v>
      </c>
      <c r="D81" t="s">
        <v>24</v>
      </c>
      <c r="E81" t="s">
        <v>15</v>
      </c>
      <c r="F81" s="7">
        <v>45004</v>
      </c>
      <c r="G81">
        <v>435</v>
      </c>
      <c r="H81">
        <v>327.8</v>
      </c>
      <c r="I81">
        <v>71.150000000000006</v>
      </c>
      <c r="J81">
        <v>142593</v>
      </c>
      <c r="K81">
        <f t="shared" si="1"/>
        <v>111642.74999999999</v>
      </c>
    </row>
    <row r="82" spans="1:11" x14ac:dyDescent="0.45">
      <c r="A82" t="s">
        <v>11</v>
      </c>
      <c r="B82" t="s">
        <v>50</v>
      </c>
      <c r="C82" t="s">
        <v>27</v>
      </c>
      <c r="D82" t="s">
        <v>24</v>
      </c>
      <c r="E82" t="s">
        <v>15</v>
      </c>
      <c r="F82" s="7">
        <v>45005</v>
      </c>
      <c r="G82">
        <v>403</v>
      </c>
      <c r="H82">
        <v>159.51</v>
      </c>
      <c r="I82">
        <v>262.98</v>
      </c>
      <c r="J82">
        <v>64282.53</v>
      </c>
      <c r="K82">
        <f t="shared" si="1"/>
        <v>-41698.410000000011</v>
      </c>
    </row>
    <row r="83" spans="1:11" x14ac:dyDescent="0.45">
      <c r="A83" t="s">
        <v>17</v>
      </c>
      <c r="B83" t="s">
        <v>50</v>
      </c>
      <c r="C83" t="s">
        <v>23</v>
      </c>
      <c r="D83" t="s">
        <v>14</v>
      </c>
      <c r="E83" t="s">
        <v>15</v>
      </c>
      <c r="F83" s="7">
        <v>45006</v>
      </c>
      <c r="G83">
        <v>169</v>
      </c>
      <c r="H83">
        <v>255.39500000000001</v>
      </c>
      <c r="I83">
        <v>339.51</v>
      </c>
      <c r="J83">
        <v>43161.754999999997</v>
      </c>
      <c r="K83">
        <f t="shared" si="1"/>
        <v>-14215.434999999996</v>
      </c>
    </row>
    <row r="84" spans="1:11" x14ac:dyDescent="0.45">
      <c r="A84" t="s">
        <v>11</v>
      </c>
      <c r="B84" t="s">
        <v>31</v>
      </c>
      <c r="C84" t="s">
        <v>13</v>
      </c>
      <c r="D84" t="s">
        <v>14</v>
      </c>
      <c r="E84" t="s">
        <v>20</v>
      </c>
      <c r="F84" s="7">
        <v>45007</v>
      </c>
      <c r="G84">
        <v>372</v>
      </c>
      <c r="H84">
        <v>429.7</v>
      </c>
      <c r="I84">
        <v>290.27999999999997</v>
      </c>
      <c r="J84">
        <v>159848.4</v>
      </c>
      <c r="K84">
        <f t="shared" si="1"/>
        <v>51864.240000000005</v>
      </c>
    </row>
    <row r="85" spans="1:11" x14ac:dyDescent="0.45">
      <c r="A85" t="s">
        <v>17</v>
      </c>
      <c r="B85" t="s">
        <v>12</v>
      </c>
      <c r="C85" t="s">
        <v>42</v>
      </c>
      <c r="D85" t="s">
        <v>24</v>
      </c>
      <c r="E85" t="s">
        <v>28</v>
      </c>
      <c r="F85" s="7">
        <v>45008</v>
      </c>
      <c r="G85">
        <v>446</v>
      </c>
      <c r="H85">
        <v>9.4700000000000006</v>
      </c>
      <c r="I85">
        <v>317.25</v>
      </c>
      <c r="J85">
        <v>4223.62</v>
      </c>
      <c r="K85">
        <f t="shared" si="1"/>
        <v>-137269.87999999998</v>
      </c>
    </row>
    <row r="86" spans="1:11" x14ac:dyDescent="0.45">
      <c r="A86" t="s">
        <v>22</v>
      </c>
      <c r="B86" t="s">
        <v>18</v>
      </c>
      <c r="C86" t="s">
        <v>27</v>
      </c>
      <c r="D86" t="s">
        <v>14</v>
      </c>
      <c r="E86" t="s">
        <v>15</v>
      </c>
      <c r="F86" s="7">
        <v>45009</v>
      </c>
      <c r="G86">
        <v>167</v>
      </c>
      <c r="H86">
        <v>296.26</v>
      </c>
      <c r="I86">
        <v>163.11000000000001</v>
      </c>
      <c r="J86">
        <v>49475.42</v>
      </c>
      <c r="K86">
        <f t="shared" si="1"/>
        <v>22236.049999999996</v>
      </c>
    </row>
    <row r="87" spans="1:11" x14ac:dyDescent="0.45">
      <c r="A87" t="s">
        <v>17</v>
      </c>
      <c r="B87" t="s">
        <v>50</v>
      </c>
      <c r="C87" t="s">
        <v>27</v>
      </c>
      <c r="D87" t="s">
        <v>24</v>
      </c>
      <c r="E87" t="s">
        <v>15</v>
      </c>
      <c r="F87" s="7">
        <v>45010</v>
      </c>
      <c r="G87">
        <v>48</v>
      </c>
      <c r="H87">
        <v>301.36</v>
      </c>
      <c r="I87">
        <v>262.32</v>
      </c>
      <c r="J87">
        <v>14465.28</v>
      </c>
      <c r="K87">
        <f t="shared" si="1"/>
        <v>1873.920000000001</v>
      </c>
    </row>
    <row r="88" spans="1:11" x14ac:dyDescent="0.45">
      <c r="A88" t="s">
        <v>11</v>
      </c>
      <c r="B88" t="s">
        <v>50</v>
      </c>
      <c r="C88" t="s">
        <v>27</v>
      </c>
      <c r="D88" t="s">
        <v>24</v>
      </c>
      <c r="E88" t="s">
        <v>28</v>
      </c>
      <c r="F88" s="7">
        <v>45011</v>
      </c>
      <c r="G88">
        <v>424</v>
      </c>
      <c r="H88">
        <v>201.35</v>
      </c>
      <c r="I88">
        <v>142.99</v>
      </c>
      <c r="J88">
        <v>85372.4</v>
      </c>
      <c r="K88">
        <f t="shared" si="1"/>
        <v>24744.639999999992</v>
      </c>
    </row>
    <row r="89" spans="1:11" x14ac:dyDescent="0.45">
      <c r="A89" t="s">
        <v>11</v>
      </c>
      <c r="B89" t="s">
        <v>18</v>
      </c>
      <c r="C89" t="s">
        <v>23</v>
      </c>
      <c r="D89" t="s">
        <v>14</v>
      </c>
      <c r="E89" t="s">
        <v>15</v>
      </c>
      <c r="F89" s="7">
        <v>45012</v>
      </c>
      <c r="G89">
        <v>91</v>
      </c>
      <c r="H89">
        <v>122.33</v>
      </c>
      <c r="I89">
        <v>211.15</v>
      </c>
      <c r="J89">
        <v>11132.03</v>
      </c>
      <c r="K89">
        <f t="shared" si="1"/>
        <v>-8082.6200000000008</v>
      </c>
    </row>
    <row r="90" spans="1:11" x14ac:dyDescent="0.45">
      <c r="A90" t="s">
        <v>48</v>
      </c>
      <c r="B90" t="s">
        <v>50</v>
      </c>
      <c r="C90" t="s">
        <v>13</v>
      </c>
      <c r="D90" t="s">
        <v>14</v>
      </c>
      <c r="E90" t="s">
        <v>28</v>
      </c>
      <c r="F90" s="7">
        <v>45013</v>
      </c>
      <c r="G90">
        <v>365</v>
      </c>
      <c r="H90">
        <v>121.16</v>
      </c>
      <c r="I90">
        <v>193.69</v>
      </c>
      <c r="J90">
        <v>44223.4</v>
      </c>
      <c r="K90">
        <f t="shared" si="1"/>
        <v>-26473.45</v>
      </c>
    </row>
    <row r="91" spans="1:11" x14ac:dyDescent="0.45">
      <c r="A91" t="s">
        <v>22</v>
      </c>
      <c r="B91" t="s">
        <v>31</v>
      </c>
      <c r="C91" t="s">
        <v>13</v>
      </c>
      <c r="D91" t="s">
        <v>14</v>
      </c>
      <c r="E91" t="s">
        <v>28</v>
      </c>
      <c r="F91" s="7">
        <v>45014</v>
      </c>
      <c r="G91">
        <v>267</v>
      </c>
      <c r="H91">
        <v>442.44</v>
      </c>
      <c r="I91">
        <v>72.400000000000006</v>
      </c>
      <c r="J91">
        <v>118131.48</v>
      </c>
      <c r="K91">
        <f t="shared" si="1"/>
        <v>98800.68</v>
      </c>
    </row>
    <row r="92" spans="1:11" x14ac:dyDescent="0.45">
      <c r="A92" t="s">
        <v>17</v>
      </c>
      <c r="B92" t="s">
        <v>12</v>
      </c>
      <c r="C92" t="s">
        <v>42</v>
      </c>
      <c r="D92" t="s">
        <v>24</v>
      </c>
      <c r="E92" t="s">
        <v>28</v>
      </c>
      <c r="F92" s="7">
        <v>45015</v>
      </c>
      <c r="G92">
        <v>215</v>
      </c>
      <c r="H92">
        <v>223.8</v>
      </c>
      <c r="I92">
        <v>156.06</v>
      </c>
      <c r="J92">
        <v>48117</v>
      </c>
      <c r="K92">
        <f t="shared" si="1"/>
        <v>14564.100000000002</v>
      </c>
    </row>
    <row r="93" spans="1:11" x14ac:dyDescent="0.45">
      <c r="A93" t="s">
        <v>48</v>
      </c>
      <c r="B93" t="s">
        <v>18</v>
      </c>
      <c r="C93" t="s">
        <v>42</v>
      </c>
      <c r="D93" t="s">
        <v>14</v>
      </c>
      <c r="E93" t="s">
        <v>28</v>
      </c>
      <c r="F93" s="7">
        <v>45016</v>
      </c>
      <c r="G93">
        <v>86</v>
      </c>
      <c r="H93">
        <v>168.79</v>
      </c>
      <c r="I93">
        <v>385.6</v>
      </c>
      <c r="J93">
        <v>14515.94</v>
      </c>
      <c r="K93">
        <f t="shared" si="1"/>
        <v>-18645.660000000003</v>
      </c>
    </row>
    <row r="94" spans="1:11" x14ac:dyDescent="0.45">
      <c r="A94" t="s">
        <v>17</v>
      </c>
      <c r="B94" t="s">
        <v>12</v>
      </c>
      <c r="C94" t="s">
        <v>27</v>
      </c>
      <c r="D94" t="s">
        <v>24</v>
      </c>
      <c r="E94" t="s">
        <v>28</v>
      </c>
      <c r="F94" s="7">
        <v>45017</v>
      </c>
      <c r="G94">
        <v>486</v>
      </c>
      <c r="H94">
        <v>227.14</v>
      </c>
      <c r="I94">
        <v>100.93</v>
      </c>
      <c r="J94">
        <v>110390.04</v>
      </c>
      <c r="K94">
        <f t="shared" si="1"/>
        <v>61338.05999999999</v>
      </c>
    </row>
    <row r="95" spans="1:11" x14ac:dyDescent="0.45">
      <c r="A95" t="s">
        <v>17</v>
      </c>
      <c r="B95" t="s">
        <v>50</v>
      </c>
      <c r="C95" t="s">
        <v>42</v>
      </c>
      <c r="D95" t="s">
        <v>24</v>
      </c>
      <c r="E95" t="s">
        <v>20</v>
      </c>
      <c r="F95" s="7">
        <v>45018</v>
      </c>
      <c r="G95">
        <v>21</v>
      </c>
      <c r="H95">
        <v>255.39500000000001</v>
      </c>
      <c r="I95">
        <v>55.25</v>
      </c>
      <c r="J95">
        <v>5363.2950000000001</v>
      </c>
      <c r="K95">
        <f t="shared" si="1"/>
        <v>4203.0450000000001</v>
      </c>
    </row>
    <row r="96" spans="1:11" x14ac:dyDescent="0.45">
      <c r="A96" t="s">
        <v>48</v>
      </c>
      <c r="B96" t="s">
        <v>50</v>
      </c>
      <c r="C96" t="s">
        <v>23</v>
      </c>
      <c r="D96" t="s">
        <v>24</v>
      </c>
      <c r="E96" t="s">
        <v>15</v>
      </c>
      <c r="F96" s="7">
        <v>45019</v>
      </c>
      <c r="G96">
        <v>304</v>
      </c>
      <c r="H96">
        <v>77.150000000000006</v>
      </c>
      <c r="I96">
        <v>168.6</v>
      </c>
      <c r="J96">
        <v>23453.599999999999</v>
      </c>
      <c r="K96">
        <f t="shared" si="1"/>
        <v>-27800.799999999996</v>
      </c>
    </row>
    <row r="97" spans="1:11" x14ac:dyDescent="0.45">
      <c r="A97" t="s">
        <v>48</v>
      </c>
      <c r="B97" t="s">
        <v>18</v>
      </c>
      <c r="C97" t="s">
        <v>13</v>
      </c>
      <c r="D97" t="s">
        <v>14</v>
      </c>
      <c r="E97" t="s">
        <v>20</v>
      </c>
      <c r="F97" s="7">
        <v>45020</v>
      </c>
      <c r="G97">
        <v>459</v>
      </c>
      <c r="H97">
        <v>227.47</v>
      </c>
      <c r="I97">
        <v>316.55</v>
      </c>
      <c r="J97">
        <v>104408.73</v>
      </c>
      <c r="K97">
        <f t="shared" si="1"/>
        <v>-40887.720000000008</v>
      </c>
    </row>
    <row r="98" spans="1:11" x14ac:dyDescent="0.45">
      <c r="A98" t="s">
        <v>48</v>
      </c>
      <c r="B98" t="s">
        <v>31</v>
      </c>
      <c r="C98" t="s">
        <v>27</v>
      </c>
      <c r="D98" t="s">
        <v>14</v>
      </c>
      <c r="E98" t="s">
        <v>15</v>
      </c>
      <c r="F98" s="7">
        <v>45021</v>
      </c>
      <c r="G98">
        <v>233</v>
      </c>
      <c r="H98">
        <v>296</v>
      </c>
      <c r="I98">
        <v>233.69</v>
      </c>
      <c r="J98">
        <v>68968</v>
      </c>
      <c r="K98">
        <f t="shared" si="1"/>
        <v>14518.230000000001</v>
      </c>
    </row>
    <row r="99" spans="1:11" x14ac:dyDescent="0.45">
      <c r="A99" t="s">
        <v>48</v>
      </c>
      <c r="B99" t="s">
        <v>26</v>
      </c>
      <c r="C99" t="s">
        <v>42</v>
      </c>
      <c r="D99" t="s">
        <v>24</v>
      </c>
      <c r="E99" t="s">
        <v>20</v>
      </c>
      <c r="F99" s="7">
        <v>45022</v>
      </c>
      <c r="G99">
        <v>22</v>
      </c>
      <c r="H99">
        <v>474.55</v>
      </c>
      <c r="I99">
        <v>273.02999999999997</v>
      </c>
      <c r="J99">
        <v>10440.1</v>
      </c>
      <c r="K99">
        <f t="shared" si="1"/>
        <v>4433.4400000000005</v>
      </c>
    </row>
    <row r="100" spans="1:11" x14ac:dyDescent="0.45">
      <c r="A100" t="s">
        <v>48</v>
      </c>
      <c r="B100" t="s">
        <v>18</v>
      </c>
      <c r="C100" t="s">
        <v>23</v>
      </c>
      <c r="D100" t="s">
        <v>14</v>
      </c>
      <c r="E100" t="s">
        <v>28</v>
      </c>
      <c r="F100" s="7">
        <v>45023</v>
      </c>
      <c r="G100">
        <v>55</v>
      </c>
      <c r="H100">
        <v>130</v>
      </c>
      <c r="I100">
        <v>77.5</v>
      </c>
      <c r="J100">
        <v>7150</v>
      </c>
      <c r="K100">
        <f t="shared" si="1"/>
        <v>2887.5</v>
      </c>
    </row>
    <row r="101" spans="1:11" x14ac:dyDescent="0.45">
      <c r="A101" t="s">
        <v>17</v>
      </c>
      <c r="B101" t="s">
        <v>26</v>
      </c>
      <c r="C101" t="s">
        <v>23</v>
      </c>
      <c r="D101" t="s">
        <v>14</v>
      </c>
      <c r="E101" t="s">
        <v>15</v>
      </c>
      <c r="F101" s="7">
        <v>45024</v>
      </c>
      <c r="G101">
        <v>164</v>
      </c>
      <c r="H101">
        <v>182.83</v>
      </c>
      <c r="I101">
        <v>248.34</v>
      </c>
      <c r="J101">
        <v>29984.12</v>
      </c>
      <c r="K101">
        <f t="shared" si="1"/>
        <v>-10743.64</v>
      </c>
    </row>
    <row r="102" spans="1:11" x14ac:dyDescent="0.45">
      <c r="A102" t="s">
        <v>48</v>
      </c>
      <c r="B102" t="s">
        <v>26</v>
      </c>
      <c r="C102" t="s">
        <v>42</v>
      </c>
      <c r="D102" t="s">
        <v>14</v>
      </c>
      <c r="E102" t="s">
        <v>15</v>
      </c>
      <c r="F102" s="7">
        <v>45025</v>
      </c>
      <c r="G102">
        <v>122</v>
      </c>
      <c r="H102">
        <v>192.78</v>
      </c>
      <c r="I102">
        <v>130.75</v>
      </c>
      <c r="J102">
        <v>23519.16</v>
      </c>
      <c r="K102">
        <f t="shared" si="1"/>
        <v>7567.66</v>
      </c>
    </row>
    <row r="103" spans="1:11" x14ac:dyDescent="0.45">
      <c r="A103" t="s">
        <v>22</v>
      </c>
      <c r="B103" t="s">
        <v>31</v>
      </c>
      <c r="C103" t="s">
        <v>13</v>
      </c>
      <c r="D103" t="s">
        <v>24</v>
      </c>
      <c r="E103" t="s">
        <v>20</v>
      </c>
      <c r="F103" s="7">
        <v>45026</v>
      </c>
      <c r="G103">
        <v>242</v>
      </c>
      <c r="H103">
        <v>304.74</v>
      </c>
      <c r="I103">
        <v>334.05</v>
      </c>
      <c r="J103">
        <v>73747.08</v>
      </c>
      <c r="K103">
        <f t="shared" si="1"/>
        <v>-7093.02</v>
      </c>
    </row>
    <row r="104" spans="1:11" x14ac:dyDescent="0.45">
      <c r="A104" t="s">
        <v>11</v>
      </c>
      <c r="B104" t="s">
        <v>26</v>
      </c>
      <c r="C104" t="s">
        <v>42</v>
      </c>
      <c r="D104" t="s">
        <v>24</v>
      </c>
      <c r="E104" t="s">
        <v>20</v>
      </c>
      <c r="F104" s="7">
        <v>45027</v>
      </c>
      <c r="G104">
        <v>26</v>
      </c>
      <c r="H104">
        <v>181.58</v>
      </c>
      <c r="I104">
        <v>252.46</v>
      </c>
      <c r="J104">
        <v>4721.08</v>
      </c>
      <c r="K104">
        <f t="shared" si="1"/>
        <v>-1842.8799999999999</v>
      </c>
    </row>
    <row r="105" spans="1:11" x14ac:dyDescent="0.45">
      <c r="A105" t="s">
        <v>48</v>
      </c>
      <c r="B105" t="s">
        <v>26</v>
      </c>
      <c r="C105" t="s">
        <v>27</v>
      </c>
      <c r="D105" t="s">
        <v>14</v>
      </c>
      <c r="E105" t="s">
        <v>15</v>
      </c>
      <c r="F105" s="7">
        <v>45028</v>
      </c>
      <c r="G105">
        <v>369</v>
      </c>
      <c r="H105">
        <v>269.08999999999997</v>
      </c>
      <c r="I105">
        <v>81.14</v>
      </c>
      <c r="J105">
        <v>99294.209999999992</v>
      </c>
      <c r="K105">
        <f t="shared" si="1"/>
        <v>69353.55</v>
      </c>
    </row>
    <row r="106" spans="1:11" x14ac:dyDescent="0.45">
      <c r="A106" t="s">
        <v>48</v>
      </c>
      <c r="B106" t="s">
        <v>31</v>
      </c>
      <c r="C106" t="s">
        <v>42</v>
      </c>
      <c r="D106" t="s">
        <v>24</v>
      </c>
      <c r="E106" t="s">
        <v>20</v>
      </c>
      <c r="F106" s="7">
        <v>45029</v>
      </c>
      <c r="G106">
        <v>232</v>
      </c>
      <c r="H106">
        <v>391.99</v>
      </c>
      <c r="I106">
        <v>27.72</v>
      </c>
      <c r="J106">
        <v>90941.680000000008</v>
      </c>
      <c r="K106">
        <f t="shared" si="1"/>
        <v>84510.64</v>
      </c>
    </row>
    <row r="107" spans="1:11" x14ac:dyDescent="0.45">
      <c r="A107" t="s">
        <v>17</v>
      </c>
      <c r="B107" t="s">
        <v>26</v>
      </c>
      <c r="C107" t="s">
        <v>23</v>
      </c>
      <c r="D107" t="s">
        <v>14</v>
      </c>
      <c r="E107" t="s">
        <v>20</v>
      </c>
      <c r="F107" s="7">
        <v>45030</v>
      </c>
      <c r="G107">
        <v>363</v>
      </c>
      <c r="H107">
        <v>354.17</v>
      </c>
      <c r="I107">
        <v>18.97</v>
      </c>
      <c r="J107">
        <v>128563.71</v>
      </c>
      <c r="K107">
        <f t="shared" si="1"/>
        <v>121677.60000000002</v>
      </c>
    </row>
    <row r="108" spans="1:11" x14ac:dyDescent="0.45">
      <c r="A108" t="s">
        <v>48</v>
      </c>
      <c r="B108" t="s">
        <v>26</v>
      </c>
      <c r="C108" t="s">
        <v>42</v>
      </c>
      <c r="D108" t="s">
        <v>14</v>
      </c>
      <c r="E108" t="s">
        <v>20</v>
      </c>
      <c r="F108" s="7">
        <v>45031</v>
      </c>
      <c r="G108">
        <v>197</v>
      </c>
      <c r="H108">
        <v>225.95</v>
      </c>
      <c r="I108">
        <v>149.82</v>
      </c>
      <c r="J108">
        <v>44512.149999999987</v>
      </c>
      <c r="K108">
        <f t="shared" si="1"/>
        <v>14997.609999999999</v>
      </c>
    </row>
    <row r="109" spans="1:11" x14ac:dyDescent="0.45">
      <c r="A109" t="s">
        <v>48</v>
      </c>
      <c r="B109" t="s">
        <v>26</v>
      </c>
      <c r="C109" t="s">
        <v>13</v>
      </c>
      <c r="D109" t="s">
        <v>14</v>
      </c>
      <c r="E109" t="s">
        <v>28</v>
      </c>
      <c r="F109" s="7">
        <v>45032</v>
      </c>
      <c r="G109">
        <v>457</v>
      </c>
      <c r="H109">
        <v>432.79</v>
      </c>
      <c r="I109">
        <v>107.81</v>
      </c>
      <c r="J109">
        <v>197785.03</v>
      </c>
      <c r="K109">
        <f t="shared" si="1"/>
        <v>148515.86000000002</v>
      </c>
    </row>
    <row r="110" spans="1:11" x14ac:dyDescent="0.45">
      <c r="A110" t="s">
        <v>48</v>
      </c>
      <c r="B110" t="s">
        <v>18</v>
      </c>
      <c r="C110" t="s">
        <v>19</v>
      </c>
      <c r="D110" t="s">
        <v>14</v>
      </c>
      <c r="E110" t="s">
        <v>28</v>
      </c>
      <c r="F110" s="7">
        <v>45033</v>
      </c>
      <c r="G110">
        <v>353</v>
      </c>
      <c r="H110">
        <v>281.27999999999997</v>
      </c>
      <c r="I110">
        <v>259.14</v>
      </c>
      <c r="J110">
        <v>99291.839999999997</v>
      </c>
      <c r="K110">
        <f t="shared" si="1"/>
        <v>7815.4199999999955</v>
      </c>
    </row>
    <row r="111" spans="1:11" x14ac:dyDescent="0.45">
      <c r="A111" t="s">
        <v>17</v>
      </c>
      <c r="B111" t="s">
        <v>18</v>
      </c>
      <c r="C111" t="s">
        <v>42</v>
      </c>
      <c r="D111" t="s">
        <v>24</v>
      </c>
      <c r="E111" t="s">
        <v>20</v>
      </c>
      <c r="F111" s="7">
        <v>45034</v>
      </c>
      <c r="G111">
        <v>374</v>
      </c>
      <c r="H111">
        <v>272.25</v>
      </c>
      <c r="I111">
        <v>200.73</v>
      </c>
      <c r="J111">
        <v>101821.5</v>
      </c>
      <c r="K111">
        <f t="shared" si="1"/>
        <v>26748.480000000003</v>
      </c>
    </row>
    <row r="112" spans="1:11" x14ac:dyDescent="0.45">
      <c r="A112" t="s">
        <v>48</v>
      </c>
      <c r="B112" t="s">
        <v>18</v>
      </c>
      <c r="C112" t="s">
        <v>13</v>
      </c>
      <c r="D112" t="s">
        <v>24</v>
      </c>
      <c r="E112" t="s">
        <v>20</v>
      </c>
      <c r="F112" s="7">
        <v>45035</v>
      </c>
      <c r="G112">
        <v>172</v>
      </c>
      <c r="H112">
        <v>21.92</v>
      </c>
      <c r="I112">
        <v>107.88</v>
      </c>
      <c r="J112">
        <v>3770.24</v>
      </c>
      <c r="K112">
        <f t="shared" si="1"/>
        <v>-14785.119999999999</v>
      </c>
    </row>
    <row r="113" spans="1:11" x14ac:dyDescent="0.45">
      <c r="A113" t="s">
        <v>11</v>
      </c>
      <c r="B113" t="s">
        <v>31</v>
      </c>
      <c r="C113" t="s">
        <v>13</v>
      </c>
      <c r="D113" t="s">
        <v>24</v>
      </c>
      <c r="E113" t="s">
        <v>28</v>
      </c>
      <c r="F113" s="7">
        <v>45036</v>
      </c>
      <c r="G113">
        <v>335</v>
      </c>
      <c r="H113">
        <v>493.41</v>
      </c>
      <c r="I113">
        <v>61.4</v>
      </c>
      <c r="J113">
        <v>165292.35</v>
      </c>
      <c r="K113">
        <f t="shared" si="1"/>
        <v>144723.35</v>
      </c>
    </row>
    <row r="114" spans="1:11" x14ac:dyDescent="0.45">
      <c r="A114" t="s">
        <v>17</v>
      </c>
      <c r="B114" t="s">
        <v>50</v>
      </c>
      <c r="C114" t="s">
        <v>23</v>
      </c>
      <c r="D114" t="s">
        <v>14</v>
      </c>
      <c r="E114" t="s">
        <v>28</v>
      </c>
      <c r="F114" s="7">
        <v>45037</v>
      </c>
      <c r="G114">
        <v>476</v>
      </c>
      <c r="H114">
        <v>65.87</v>
      </c>
      <c r="I114">
        <v>52.63</v>
      </c>
      <c r="J114">
        <v>31354.12</v>
      </c>
      <c r="K114">
        <f t="shared" si="1"/>
        <v>6302.2400000000007</v>
      </c>
    </row>
    <row r="115" spans="1:11" x14ac:dyDescent="0.45">
      <c r="A115" t="s">
        <v>11</v>
      </c>
      <c r="B115" t="s">
        <v>26</v>
      </c>
      <c r="C115" t="s">
        <v>13</v>
      </c>
      <c r="D115" t="s">
        <v>14</v>
      </c>
      <c r="E115" t="s">
        <v>15</v>
      </c>
      <c r="F115" s="7">
        <v>45038</v>
      </c>
      <c r="G115">
        <v>423</v>
      </c>
      <c r="H115">
        <v>119.41</v>
      </c>
      <c r="I115">
        <v>346.13</v>
      </c>
      <c r="J115">
        <v>50510.43</v>
      </c>
      <c r="K115">
        <f t="shared" si="1"/>
        <v>-95902.56</v>
      </c>
    </row>
    <row r="116" spans="1:11" x14ac:dyDescent="0.45">
      <c r="A116" t="s">
        <v>17</v>
      </c>
      <c r="B116" t="s">
        <v>26</v>
      </c>
      <c r="C116" t="s">
        <v>13</v>
      </c>
      <c r="D116" t="s">
        <v>14</v>
      </c>
      <c r="E116" t="s">
        <v>15</v>
      </c>
      <c r="F116" s="7">
        <v>45039</v>
      </c>
      <c r="G116">
        <v>464</v>
      </c>
      <c r="H116">
        <v>30.59</v>
      </c>
      <c r="I116">
        <v>98.9</v>
      </c>
      <c r="J116">
        <v>14193.76</v>
      </c>
      <c r="K116">
        <f t="shared" si="1"/>
        <v>-31695.84</v>
      </c>
    </row>
    <row r="117" spans="1:11" x14ac:dyDescent="0.45">
      <c r="A117" t="s">
        <v>48</v>
      </c>
      <c r="B117" t="s">
        <v>31</v>
      </c>
      <c r="C117" t="s">
        <v>13</v>
      </c>
      <c r="D117" t="s">
        <v>24</v>
      </c>
      <c r="E117" t="s">
        <v>28</v>
      </c>
      <c r="F117" s="7">
        <v>45040</v>
      </c>
      <c r="G117">
        <v>83</v>
      </c>
      <c r="H117">
        <v>321.8</v>
      </c>
      <c r="I117">
        <v>261.38</v>
      </c>
      <c r="J117">
        <v>26709.4</v>
      </c>
      <c r="K117">
        <f t="shared" si="1"/>
        <v>5014.8600000000015</v>
      </c>
    </row>
    <row r="118" spans="1:11" x14ac:dyDescent="0.45">
      <c r="A118" t="s">
        <v>11</v>
      </c>
      <c r="B118" t="s">
        <v>26</v>
      </c>
      <c r="C118" t="s">
        <v>13</v>
      </c>
      <c r="D118" t="s">
        <v>14</v>
      </c>
      <c r="E118" t="s">
        <v>20</v>
      </c>
      <c r="F118" s="7">
        <v>45041</v>
      </c>
      <c r="G118">
        <v>242</v>
      </c>
      <c r="H118">
        <v>116.23</v>
      </c>
      <c r="I118">
        <v>324.64999999999998</v>
      </c>
      <c r="J118">
        <v>28127.66</v>
      </c>
      <c r="K118">
        <f t="shared" si="1"/>
        <v>-50437.639999999992</v>
      </c>
    </row>
    <row r="119" spans="1:11" x14ac:dyDescent="0.45">
      <c r="A119" t="s">
        <v>17</v>
      </c>
      <c r="B119" t="s">
        <v>18</v>
      </c>
      <c r="C119" t="s">
        <v>27</v>
      </c>
      <c r="D119" t="s">
        <v>24</v>
      </c>
      <c r="E119" t="s">
        <v>20</v>
      </c>
      <c r="F119" s="7">
        <v>45042</v>
      </c>
      <c r="G119">
        <v>233</v>
      </c>
      <c r="H119">
        <v>94.11</v>
      </c>
      <c r="I119">
        <v>246.4</v>
      </c>
      <c r="J119">
        <v>21927.63</v>
      </c>
      <c r="K119">
        <f t="shared" si="1"/>
        <v>-35483.570000000007</v>
      </c>
    </row>
    <row r="120" spans="1:11" x14ac:dyDescent="0.45">
      <c r="A120" t="s">
        <v>22</v>
      </c>
      <c r="B120" t="s">
        <v>50</v>
      </c>
      <c r="C120" t="s">
        <v>27</v>
      </c>
      <c r="D120" t="s">
        <v>24</v>
      </c>
      <c r="E120" t="s">
        <v>20</v>
      </c>
      <c r="F120" s="7">
        <v>45043</v>
      </c>
      <c r="G120">
        <v>491</v>
      </c>
      <c r="H120">
        <v>48.84</v>
      </c>
      <c r="I120">
        <v>344.11</v>
      </c>
      <c r="J120">
        <v>23980.44</v>
      </c>
      <c r="K120">
        <f t="shared" si="1"/>
        <v>-144977.56999999998</v>
      </c>
    </row>
    <row r="121" spans="1:11" x14ac:dyDescent="0.45">
      <c r="A121" t="s">
        <v>17</v>
      </c>
      <c r="B121" t="s">
        <v>12</v>
      </c>
      <c r="C121" t="s">
        <v>23</v>
      </c>
      <c r="D121" t="s">
        <v>24</v>
      </c>
      <c r="E121" t="s">
        <v>20</v>
      </c>
      <c r="F121" s="7">
        <v>45044</v>
      </c>
      <c r="G121">
        <v>328</v>
      </c>
      <c r="H121">
        <v>56.14</v>
      </c>
      <c r="I121">
        <v>158.16999999999999</v>
      </c>
      <c r="J121">
        <v>18413.919999999998</v>
      </c>
      <c r="K121">
        <f t="shared" si="1"/>
        <v>-33465.839999999997</v>
      </c>
    </row>
    <row r="122" spans="1:11" x14ac:dyDescent="0.45">
      <c r="A122" t="s">
        <v>17</v>
      </c>
      <c r="B122" t="s">
        <v>26</v>
      </c>
      <c r="C122" t="s">
        <v>42</v>
      </c>
      <c r="D122" t="s">
        <v>24</v>
      </c>
      <c r="E122" t="s">
        <v>15</v>
      </c>
      <c r="F122" s="7">
        <v>45045</v>
      </c>
      <c r="G122">
        <v>421</v>
      </c>
      <c r="H122">
        <v>294.41000000000003</v>
      </c>
      <c r="I122">
        <v>382.58</v>
      </c>
      <c r="J122">
        <v>123946.61</v>
      </c>
      <c r="K122">
        <f t="shared" si="1"/>
        <v>-37119.569999999985</v>
      </c>
    </row>
    <row r="123" spans="1:11" x14ac:dyDescent="0.45">
      <c r="A123" t="s">
        <v>22</v>
      </c>
      <c r="B123" t="s">
        <v>18</v>
      </c>
      <c r="C123" t="s">
        <v>13</v>
      </c>
      <c r="D123" t="s">
        <v>24</v>
      </c>
      <c r="E123" t="s">
        <v>28</v>
      </c>
      <c r="F123" s="7">
        <v>45046</v>
      </c>
      <c r="G123">
        <v>69</v>
      </c>
      <c r="H123">
        <v>345.66</v>
      </c>
      <c r="I123">
        <v>54.99</v>
      </c>
      <c r="J123">
        <v>23850.54</v>
      </c>
      <c r="K123">
        <f t="shared" si="1"/>
        <v>20056.23</v>
      </c>
    </row>
    <row r="124" spans="1:11" x14ac:dyDescent="0.45">
      <c r="A124" t="s">
        <v>17</v>
      </c>
      <c r="B124" t="s">
        <v>12</v>
      </c>
      <c r="C124" t="s">
        <v>42</v>
      </c>
      <c r="D124" t="s">
        <v>24</v>
      </c>
      <c r="E124" t="s">
        <v>20</v>
      </c>
      <c r="F124" s="7">
        <v>45047</v>
      </c>
      <c r="G124">
        <v>344</v>
      </c>
      <c r="H124">
        <v>201.7</v>
      </c>
      <c r="I124">
        <v>42.66</v>
      </c>
      <c r="J124">
        <v>69384.800000000003</v>
      </c>
      <c r="K124">
        <f t="shared" si="1"/>
        <v>54709.759999999995</v>
      </c>
    </row>
    <row r="125" spans="1:11" x14ac:dyDescent="0.45">
      <c r="A125" t="s">
        <v>17</v>
      </c>
      <c r="B125" t="s">
        <v>50</v>
      </c>
      <c r="C125" t="s">
        <v>42</v>
      </c>
      <c r="D125" t="s">
        <v>14</v>
      </c>
      <c r="E125" t="s">
        <v>15</v>
      </c>
      <c r="F125" s="7">
        <v>45048</v>
      </c>
      <c r="G125">
        <v>231</v>
      </c>
      <c r="H125">
        <v>242.55</v>
      </c>
      <c r="I125">
        <v>264.16000000000003</v>
      </c>
      <c r="J125">
        <v>56029.05</v>
      </c>
      <c r="K125">
        <f t="shared" si="1"/>
        <v>-4991.9100000000035</v>
      </c>
    </row>
    <row r="126" spans="1:11" x14ac:dyDescent="0.45">
      <c r="A126" t="s">
        <v>48</v>
      </c>
      <c r="B126" t="s">
        <v>12</v>
      </c>
      <c r="C126" t="s">
        <v>23</v>
      </c>
      <c r="D126" t="s">
        <v>14</v>
      </c>
      <c r="E126" t="s">
        <v>20</v>
      </c>
      <c r="F126" s="7">
        <v>45049</v>
      </c>
      <c r="G126">
        <v>46</v>
      </c>
      <c r="H126">
        <v>344.55</v>
      </c>
      <c r="I126">
        <v>377.25</v>
      </c>
      <c r="J126">
        <v>15849.3</v>
      </c>
      <c r="K126">
        <f t="shared" si="1"/>
        <v>-1504.1999999999994</v>
      </c>
    </row>
    <row r="127" spans="1:11" x14ac:dyDescent="0.45">
      <c r="A127" t="s">
        <v>11</v>
      </c>
      <c r="B127" t="s">
        <v>18</v>
      </c>
      <c r="C127" t="s">
        <v>13</v>
      </c>
      <c r="D127" t="s">
        <v>24</v>
      </c>
      <c r="E127" t="s">
        <v>28</v>
      </c>
      <c r="F127" s="7">
        <v>45050</v>
      </c>
      <c r="G127">
        <v>486</v>
      </c>
      <c r="H127">
        <v>13.6</v>
      </c>
      <c r="I127">
        <v>323.94</v>
      </c>
      <c r="J127">
        <v>6609.5999999999995</v>
      </c>
      <c r="K127">
        <f t="shared" si="1"/>
        <v>-150825.24</v>
      </c>
    </row>
    <row r="128" spans="1:11" x14ac:dyDescent="0.45">
      <c r="A128" t="s">
        <v>22</v>
      </c>
      <c r="B128" t="s">
        <v>12</v>
      </c>
      <c r="C128" t="s">
        <v>13</v>
      </c>
      <c r="D128" t="s">
        <v>24</v>
      </c>
      <c r="E128" t="s">
        <v>15</v>
      </c>
      <c r="F128" s="7">
        <v>45051</v>
      </c>
      <c r="G128">
        <v>287</v>
      </c>
      <c r="H128">
        <v>164.95</v>
      </c>
      <c r="I128">
        <v>32.409999999999997</v>
      </c>
      <c r="J128">
        <v>47340.649999999987</v>
      </c>
      <c r="K128">
        <f t="shared" si="1"/>
        <v>38038.979999999996</v>
      </c>
    </row>
    <row r="129" spans="1:11" x14ac:dyDescent="0.45">
      <c r="A129" t="s">
        <v>17</v>
      </c>
      <c r="B129" t="s">
        <v>31</v>
      </c>
      <c r="C129" t="s">
        <v>19</v>
      </c>
      <c r="D129" t="s">
        <v>14</v>
      </c>
      <c r="E129" t="s">
        <v>28</v>
      </c>
      <c r="F129" s="7">
        <v>45052</v>
      </c>
      <c r="G129">
        <v>205</v>
      </c>
      <c r="H129">
        <v>486.68</v>
      </c>
      <c r="I129">
        <v>113.19</v>
      </c>
      <c r="J129">
        <v>99769.4</v>
      </c>
      <c r="K129">
        <f t="shared" si="1"/>
        <v>76565.45</v>
      </c>
    </row>
    <row r="130" spans="1:11" x14ac:dyDescent="0.45">
      <c r="A130" t="s">
        <v>48</v>
      </c>
      <c r="B130" t="s">
        <v>12</v>
      </c>
      <c r="C130" t="s">
        <v>42</v>
      </c>
      <c r="D130" t="s">
        <v>24</v>
      </c>
      <c r="E130" t="s">
        <v>28</v>
      </c>
      <c r="F130" s="7">
        <v>45053</v>
      </c>
      <c r="G130">
        <v>413</v>
      </c>
      <c r="H130">
        <v>292.16000000000003</v>
      </c>
      <c r="I130">
        <v>372.27</v>
      </c>
      <c r="J130">
        <v>120662.08</v>
      </c>
      <c r="K130">
        <f t="shared" si="1"/>
        <v>-33085.429999999986</v>
      </c>
    </row>
    <row r="131" spans="1:11" x14ac:dyDescent="0.45">
      <c r="A131" t="s">
        <v>22</v>
      </c>
      <c r="B131" t="s">
        <v>26</v>
      </c>
      <c r="C131" t="s">
        <v>42</v>
      </c>
      <c r="D131" t="s">
        <v>24</v>
      </c>
      <c r="E131" t="s">
        <v>15</v>
      </c>
      <c r="F131" s="7">
        <v>45054</v>
      </c>
      <c r="G131">
        <v>361</v>
      </c>
      <c r="H131">
        <v>130.84</v>
      </c>
      <c r="I131">
        <v>102.72</v>
      </c>
      <c r="J131">
        <v>47233.24</v>
      </c>
      <c r="K131">
        <f t="shared" si="1"/>
        <v>10151.320000000002</v>
      </c>
    </row>
    <row r="132" spans="1:11" x14ac:dyDescent="0.45">
      <c r="A132" t="s">
        <v>17</v>
      </c>
      <c r="B132" t="s">
        <v>26</v>
      </c>
      <c r="C132" t="s">
        <v>27</v>
      </c>
      <c r="D132" t="s">
        <v>14</v>
      </c>
      <c r="E132" t="s">
        <v>15</v>
      </c>
      <c r="F132" s="7">
        <v>45055</v>
      </c>
      <c r="G132">
        <v>493</v>
      </c>
      <c r="H132">
        <v>263.26</v>
      </c>
      <c r="I132">
        <v>312.91000000000003</v>
      </c>
      <c r="J132">
        <v>129787.18</v>
      </c>
      <c r="K132">
        <f t="shared" si="1"/>
        <v>-24477.450000000015</v>
      </c>
    </row>
    <row r="133" spans="1:11" x14ac:dyDescent="0.45">
      <c r="A133" t="s">
        <v>17</v>
      </c>
      <c r="B133" t="s">
        <v>31</v>
      </c>
      <c r="C133" t="s">
        <v>19</v>
      </c>
      <c r="D133" t="s">
        <v>24</v>
      </c>
      <c r="E133" t="s">
        <v>15</v>
      </c>
      <c r="F133" s="7">
        <v>45056</v>
      </c>
      <c r="G133">
        <v>251</v>
      </c>
      <c r="H133">
        <v>174.61</v>
      </c>
      <c r="I133">
        <v>330.4</v>
      </c>
      <c r="J133">
        <v>43827.11</v>
      </c>
      <c r="K133">
        <f t="shared" ref="K133:K196" si="2">(H133-I133)*G133</f>
        <v>-39103.289999999994</v>
      </c>
    </row>
    <row r="134" spans="1:11" x14ac:dyDescent="0.45">
      <c r="A134" t="s">
        <v>17</v>
      </c>
      <c r="B134" t="s">
        <v>18</v>
      </c>
      <c r="C134" t="s">
        <v>27</v>
      </c>
      <c r="D134" t="s">
        <v>24</v>
      </c>
      <c r="E134" t="s">
        <v>15</v>
      </c>
      <c r="F134" s="7">
        <v>45057</v>
      </c>
      <c r="G134">
        <v>248.5</v>
      </c>
      <c r="H134">
        <v>268.45999999999998</v>
      </c>
      <c r="I134">
        <v>199.19</v>
      </c>
      <c r="J134">
        <v>66712.31</v>
      </c>
      <c r="K134">
        <f t="shared" si="2"/>
        <v>17213.594999999994</v>
      </c>
    </row>
    <row r="135" spans="1:11" x14ac:dyDescent="0.45">
      <c r="A135" t="s">
        <v>22</v>
      </c>
      <c r="B135" t="s">
        <v>26</v>
      </c>
      <c r="C135" t="s">
        <v>27</v>
      </c>
      <c r="D135" t="s">
        <v>24</v>
      </c>
      <c r="E135" t="s">
        <v>15</v>
      </c>
      <c r="F135" s="7">
        <v>45058</v>
      </c>
      <c r="G135">
        <v>228</v>
      </c>
      <c r="H135">
        <v>67.239999999999995</v>
      </c>
      <c r="I135">
        <v>155.77000000000001</v>
      </c>
      <c r="J135">
        <v>15330.72</v>
      </c>
      <c r="K135">
        <f t="shared" si="2"/>
        <v>-20184.840000000004</v>
      </c>
    </row>
    <row r="136" spans="1:11" x14ac:dyDescent="0.45">
      <c r="A136" t="s">
        <v>22</v>
      </c>
      <c r="B136" t="s">
        <v>50</v>
      </c>
      <c r="C136" t="s">
        <v>27</v>
      </c>
      <c r="D136" t="s">
        <v>14</v>
      </c>
      <c r="E136" t="s">
        <v>15</v>
      </c>
      <c r="F136" s="7">
        <v>45059</v>
      </c>
      <c r="G136">
        <v>201</v>
      </c>
      <c r="H136">
        <v>70.69</v>
      </c>
      <c r="I136">
        <v>181.15</v>
      </c>
      <c r="J136">
        <v>14208.69</v>
      </c>
      <c r="K136">
        <f t="shared" si="2"/>
        <v>-22202.460000000003</v>
      </c>
    </row>
    <row r="137" spans="1:11" x14ac:dyDescent="0.45">
      <c r="A137" t="s">
        <v>22</v>
      </c>
      <c r="B137" t="s">
        <v>26</v>
      </c>
      <c r="C137" t="s">
        <v>23</v>
      </c>
      <c r="D137" t="s">
        <v>14</v>
      </c>
      <c r="E137" t="s">
        <v>15</v>
      </c>
      <c r="F137" s="7">
        <v>45060</v>
      </c>
      <c r="G137">
        <v>26</v>
      </c>
      <c r="H137">
        <v>76.05</v>
      </c>
      <c r="I137">
        <v>92.33</v>
      </c>
      <c r="J137">
        <v>1977.3</v>
      </c>
      <c r="K137">
        <f t="shared" si="2"/>
        <v>-423.28000000000003</v>
      </c>
    </row>
    <row r="138" spans="1:11" x14ac:dyDescent="0.45">
      <c r="A138" t="s">
        <v>11</v>
      </c>
      <c r="B138" t="s">
        <v>26</v>
      </c>
      <c r="C138" t="s">
        <v>23</v>
      </c>
      <c r="D138" t="s">
        <v>14</v>
      </c>
      <c r="E138" t="s">
        <v>20</v>
      </c>
      <c r="F138" s="7">
        <v>45061</v>
      </c>
      <c r="G138">
        <v>21</v>
      </c>
      <c r="H138">
        <v>470.21</v>
      </c>
      <c r="I138">
        <v>355.98</v>
      </c>
      <c r="J138">
        <v>9874.41</v>
      </c>
      <c r="K138">
        <f t="shared" si="2"/>
        <v>2398.829999999999</v>
      </c>
    </row>
    <row r="139" spans="1:11" x14ac:dyDescent="0.45">
      <c r="A139" t="s">
        <v>22</v>
      </c>
      <c r="B139" t="s">
        <v>18</v>
      </c>
      <c r="C139" t="s">
        <v>27</v>
      </c>
      <c r="D139" t="s">
        <v>24</v>
      </c>
      <c r="E139" t="s">
        <v>28</v>
      </c>
      <c r="F139" s="7">
        <v>45062</v>
      </c>
      <c r="G139">
        <v>415</v>
      </c>
      <c r="H139">
        <v>367.78</v>
      </c>
      <c r="I139">
        <v>181.35</v>
      </c>
      <c r="J139">
        <v>152628.70000000001</v>
      </c>
      <c r="K139">
        <f t="shared" si="2"/>
        <v>77368.45</v>
      </c>
    </row>
    <row r="140" spans="1:11" x14ac:dyDescent="0.45">
      <c r="A140" t="s">
        <v>22</v>
      </c>
      <c r="B140" t="s">
        <v>12</v>
      </c>
      <c r="C140" t="s">
        <v>19</v>
      </c>
      <c r="D140" t="s">
        <v>24</v>
      </c>
      <c r="E140" t="s">
        <v>15</v>
      </c>
      <c r="F140" s="7">
        <v>45063</v>
      </c>
      <c r="G140">
        <v>410</v>
      </c>
      <c r="H140">
        <v>85.38</v>
      </c>
      <c r="I140">
        <v>353.22</v>
      </c>
      <c r="J140">
        <v>35005.800000000003</v>
      </c>
      <c r="K140">
        <f t="shared" si="2"/>
        <v>-109814.40000000001</v>
      </c>
    </row>
    <row r="141" spans="1:11" x14ac:dyDescent="0.45">
      <c r="A141" t="s">
        <v>22</v>
      </c>
      <c r="B141" t="s">
        <v>26</v>
      </c>
      <c r="C141" t="s">
        <v>42</v>
      </c>
      <c r="D141" t="s">
        <v>14</v>
      </c>
      <c r="E141" t="s">
        <v>20</v>
      </c>
      <c r="F141" s="7">
        <v>45064</v>
      </c>
      <c r="G141">
        <v>403</v>
      </c>
      <c r="H141">
        <v>98.23</v>
      </c>
      <c r="I141">
        <v>44.07</v>
      </c>
      <c r="J141">
        <v>39586.69</v>
      </c>
      <c r="K141">
        <f t="shared" si="2"/>
        <v>21826.480000000003</v>
      </c>
    </row>
    <row r="142" spans="1:11" x14ac:dyDescent="0.45">
      <c r="A142" t="s">
        <v>11</v>
      </c>
      <c r="B142" t="s">
        <v>31</v>
      </c>
      <c r="C142" t="s">
        <v>19</v>
      </c>
      <c r="D142" t="s">
        <v>24</v>
      </c>
      <c r="E142" t="s">
        <v>20</v>
      </c>
      <c r="F142" s="7">
        <v>45065</v>
      </c>
      <c r="G142">
        <v>383</v>
      </c>
      <c r="H142">
        <v>366.76</v>
      </c>
      <c r="I142">
        <v>395.33</v>
      </c>
      <c r="J142">
        <v>140469.07999999999</v>
      </c>
      <c r="K142">
        <f t="shared" si="2"/>
        <v>-10942.309999999998</v>
      </c>
    </row>
    <row r="143" spans="1:11" x14ac:dyDescent="0.45">
      <c r="A143" t="s">
        <v>22</v>
      </c>
      <c r="B143" t="s">
        <v>12</v>
      </c>
      <c r="C143" t="s">
        <v>13</v>
      </c>
      <c r="D143" t="s">
        <v>24</v>
      </c>
      <c r="E143" t="s">
        <v>20</v>
      </c>
      <c r="F143" s="7">
        <v>45066</v>
      </c>
      <c r="G143">
        <v>202</v>
      </c>
      <c r="H143">
        <v>82.3</v>
      </c>
      <c r="I143">
        <v>178.42</v>
      </c>
      <c r="J143">
        <v>16624.599999999999</v>
      </c>
      <c r="K143">
        <f t="shared" si="2"/>
        <v>-19416.239999999998</v>
      </c>
    </row>
    <row r="144" spans="1:11" x14ac:dyDescent="0.45">
      <c r="A144" t="s">
        <v>17</v>
      </c>
      <c r="B144" t="s">
        <v>50</v>
      </c>
      <c r="C144" t="s">
        <v>23</v>
      </c>
      <c r="D144" t="s">
        <v>24</v>
      </c>
      <c r="E144" t="s">
        <v>28</v>
      </c>
      <c r="F144" s="7">
        <v>45067</v>
      </c>
      <c r="G144">
        <v>31</v>
      </c>
      <c r="H144">
        <v>121.11</v>
      </c>
      <c r="I144">
        <v>21.04</v>
      </c>
      <c r="J144">
        <v>3754.41</v>
      </c>
      <c r="K144">
        <f t="shared" si="2"/>
        <v>3102.1699999999996</v>
      </c>
    </row>
    <row r="145" spans="1:11" x14ac:dyDescent="0.45">
      <c r="A145" t="s">
        <v>22</v>
      </c>
      <c r="B145" t="s">
        <v>18</v>
      </c>
      <c r="C145" t="s">
        <v>42</v>
      </c>
      <c r="D145" t="s">
        <v>24</v>
      </c>
      <c r="E145" t="s">
        <v>15</v>
      </c>
      <c r="F145" s="7">
        <v>45068</v>
      </c>
      <c r="G145">
        <v>483</v>
      </c>
      <c r="H145">
        <v>481.86</v>
      </c>
      <c r="I145">
        <v>17.13</v>
      </c>
      <c r="J145">
        <v>232738.38</v>
      </c>
      <c r="K145">
        <f t="shared" si="2"/>
        <v>224464.59</v>
      </c>
    </row>
    <row r="146" spans="1:11" x14ac:dyDescent="0.45">
      <c r="A146" t="s">
        <v>17</v>
      </c>
      <c r="B146" t="s">
        <v>50</v>
      </c>
      <c r="C146" t="s">
        <v>42</v>
      </c>
      <c r="D146" t="s">
        <v>24</v>
      </c>
      <c r="E146" t="s">
        <v>20</v>
      </c>
      <c r="F146" s="7">
        <v>45069</v>
      </c>
      <c r="G146">
        <v>129</v>
      </c>
      <c r="H146">
        <v>131.38</v>
      </c>
      <c r="I146">
        <v>298.99</v>
      </c>
      <c r="J146">
        <v>16948.02</v>
      </c>
      <c r="K146">
        <f t="shared" si="2"/>
        <v>-21621.690000000002</v>
      </c>
    </row>
    <row r="147" spans="1:11" x14ac:dyDescent="0.45">
      <c r="A147" t="s">
        <v>17</v>
      </c>
      <c r="B147" t="s">
        <v>12</v>
      </c>
      <c r="C147" t="s">
        <v>13</v>
      </c>
      <c r="D147" t="s">
        <v>14</v>
      </c>
      <c r="E147" t="s">
        <v>28</v>
      </c>
      <c r="F147" s="7">
        <v>45070</v>
      </c>
      <c r="G147">
        <v>219</v>
      </c>
      <c r="H147">
        <v>332.51</v>
      </c>
      <c r="I147">
        <v>264.3</v>
      </c>
      <c r="J147">
        <v>72819.69</v>
      </c>
      <c r="K147">
        <f t="shared" si="2"/>
        <v>14937.989999999996</v>
      </c>
    </row>
    <row r="148" spans="1:11" x14ac:dyDescent="0.45">
      <c r="A148" t="s">
        <v>17</v>
      </c>
      <c r="B148" t="s">
        <v>12</v>
      </c>
      <c r="C148" t="s">
        <v>13</v>
      </c>
      <c r="D148" t="s">
        <v>24</v>
      </c>
      <c r="E148" t="s">
        <v>28</v>
      </c>
      <c r="F148" s="7">
        <v>45071</v>
      </c>
      <c r="G148">
        <v>315</v>
      </c>
      <c r="H148">
        <v>489.42</v>
      </c>
      <c r="I148">
        <v>321.25</v>
      </c>
      <c r="J148">
        <v>154167.29999999999</v>
      </c>
      <c r="K148">
        <f t="shared" si="2"/>
        <v>52973.55</v>
      </c>
    </row>
    <row r="149" spans="1:11" x14ac:dyDescent="0.45">
      <c r="A149" t="s">
        <v>11</v>
      </c>
      <c r="B149" t="s">
        <v>12</v>
      </c>
      <c r="C149" t="s">
        <v>27</v>
      </c>
      <c r="D149" t="s">
        <v>14</v>
      </c>
      <c r="E149" t="s">
        <v>28</v>
      </c>
      <c r="F149" s="7">
        <v>45072</v>
      </c>
      <c r="G149">
        <v>279</v>
      </c>
      <c r="H149">
        <v>190.28</v>
      </c>
      <c r="I149">
        <v>43.94</v>
      </c>
      <c r="J149">
        <v>53088.12</v>
      </c>
      <c r="K149">
        <f t="shared" si="2"/>
        <v>40828.86</v>
      </c>
    </row>
    <row r="150" spans="1:11" x14ac:dyDescent="0.45">
      <c r="A150" t="s">
        <v>11</v>
      </c>
      <c r="B150" t="s">
        <v>50</v>
      </c>
      <c r="C150" t="s">
        <v>23</v>
      </c>
      <c r="D150" t="s">
        <v>24</v>
      </c>
      <c r="E150" t="s">
        <v>20</v>
      </c>
      <c r="F150" s="7">
        <v>45073</v>
      </c>
      <c r="G150">
        <v>201</v>
      </c>
      <c r="H150">
        <v>13.67</v>
      </c>
      <c r="I150">
        <v>16.16</v>
      </c>
      <c r="J150">
        <v>2747.67</v>
      </c>
      <c r="K150">
        <f t="shared" si="2"/>
        <v>-500.49000000000007</v>
      </c>
    </row>
    <row r="151" spans="1:11" x14ac:dyDescent="0.45">
      <c r="A151" t="s">
        <v>11</v>
      </c>
      <c r="B151" t="s">
        <v>12</v>
      </c>
      <c r="C151" t="s">
        <v>23</v>
      </c>
      <c r="D151" t="s">
        <v>14</v>
      </c>
      <c r="E151" t="s">
        <v>15</v>
      </c>
      <c r="F151" s="7">
        <v>45074</v>
      </c>
      <c r="G151">
        <v>184</v>
      </c>
      <c r="H151">
        <v>125.85</v>
      </c>
      <c r="I151">
        <v>204.41</v>
      </c>
      <c r="J151">
        <v>23156.400000000001</v>
      </c>
      <c r="K151">
        <f t="shared" si="2"/>
        <v>-14455.04</v>
      </c>
    </row>
    <row r="152" spans="1:11" x14ac:dyDescent="0.45">
      <c r="A152" t="s">
        <v>22</v>
      </c>
      <c r="B152" t="s">
        <v>50</v>
      </c>
      <c r="C152" t="s">
        <v>19</v>
      </c>
      <c r="D152" t="s">
        <v>24</v>
      </c>
      <c r="E152" t="s">
        <v>20</v>
      </c>
      <c r="F152" s="7">
        <v>45075</v>
      </c>
      <c r="G152">
        <v>294</v>
      </c>
      <c r="H152">
        <v>416.28</v>
      </c>
      <c r="I152">
        <v>156.26</v>
      </c>
      <c r="J152">
        <v>122386.32</v>
      </c>
      <c r="K152">
        <f t="shared" si="2"/>
        <v>76445.87999999999</v>
      </c>
    </row>
    <row r="153" spans="1:11" x14ac:dyDescent="0.45">
      <c r="A153" t="s">
        <v>17</v>
      </c>
      <c r="B153" t="s">
        <v>12</v>
      </c>
      <c r="C153" t="s">
        <v>27</v>
      </c>
      <c r="D153" t="s">
        <v>14</v>
      </c>
      <c r="E153" t="s">
        <v>20</v>
      </c>
      <c r="F153" s="7">
        <v>45076</v>
      </c>
      <c r="G153">
        <v>213</v>
      </c>
      <c r="H153">
        <v>432.98</v>
      </c>
      <c r="I153">
        <v>185.85</v>
      </c>
      <c r="J153">
        <v>92224.74</v>
      </c>
      <c r="K153">
        <f t="shared" si="2"/>
        <v>52638.69</v>
      </c>
    </row>
    <row r="154" spans="1:11" x14ac:dyDescent="0.45">
      <c r="A154" t="s">
        <v>11</v>
      </c>
      <c r="B154" t="s">
        <v>31</v>
      </c>
      <c r="C154" t="s">
        <v>27</v>
      </c>
      <c r="D154" t="s">
        <v>24</v>
      </c>
      <c r="E154" t="s">
        <v>15</v>
      </c>
      <c r="F154" s="7">
        <v>45077</v>
      </c>
      <c r="G154">
        <v>173</v>
      </c>
      <c r="H154">
        <v>385.42</v>
      </c>
      <c r="I154">
        <v>396.65</v>
      </c>
      <c r="J154">
        <v>66677.66</v>
      </c>
      <c r="K154">
        <f t="shared" si="2"/>
        <v>-1942.7899999999934</v>
      </c>
    </row>
    <row r="155" spans="1:11" x14ac:dyDescent="0.45">
      <c r="A155" t="s">
        <v>11</v>
      </c>
      <c r="B155" t="s">
        <v>12</v>
      </c>
      <c r="C155" t="s">
        <v>27</v>
      </c>
      <c r="D155" t="s">
        <v>14</v>
      </c>
      <c r="E155" t="s">
        <v>15</v>
      </c>
      <c r="F155" s="7">
        <v>45078</v>
      </c>
      <c r="G155">
        <v>260</v>
      </c>
      <c r="H155">
        <v>60.99</v>
      </c>
      <c r="I155">
        <v>388.36</v>
      </c>
      <c r="J155">
        <v>15857.4</v>
      </c>
      <c r="K155">
        <f t="shared" si="2"/>
        <v>-85116.2</v>
      </c>
    </row>
    <row r="156" spans="1:11" x14ac:dyDescent="0.45">
      <c r="A156" t="s">
        <v>22</v>
      </c>
      <c r="B156" t="s">
        <v>50</v>
      </c>
      <c r="C156" t="s">
        <v>27</v>
      </c>
      <c r="D156" t="s">
        <v>24</v>
      </c>
      <c r="E156" t="s">
        <v>15</v>
      </c>
      <c r="F156" s="7">
        <v>45079</v>
      </c>
      <c r="G156">
        <v>236</v>
      </c>
      <c r="H156">
        <v>398.78</v>
      </c>
      <c r="I156">
        <v>377.04</v>
      </c>
      <c r="J156">
        <v>94112.079999999987</v>
      </c>
      <c r="K156">
        <f t="shared" si="2"/>
        <v>5130.6399999999885</v>
      </c>
    </row>
    <row r="157" spans="1:11" x14ac:dyDescent="0.45">
      <c r="A157" t="s">
        <v>11</v>
      </c>
      <c r="B157" t="s">
        <v>26</v>
      </c>
      <c r="C157" t="s">
        <v>23</v>
      </c>
      <c r="D157" t="s">
        <v>14</v>
      </c>
      <c r="E157" t="s">
        <v>28</v>
      </c>
      <c r="F157" s="7">
        <v>45080</v>
      </c>
      <c r="G157">
        <v>445</v>
      </c>
      <c r="H157">
        <v>459.75</v>
      </c>
      <c r="I157">
        <v>313.97000000000003</v>
      </c>
      <c r="J157">
        <v>204588.75</v>
      </c>
      <c r="K157">
        <f t="shared" si="2"/>
        <v>64872.099999999991</v>
      </c>
    </row>
    <row r="158" spans="1:11" x14ac:dyDescent="0.45">
      <c r="A158" t="s">
        <v>22</v>
      </c>
      <c r="B158" t="s">
        <v>12</v>
      </c>
      <c r="C158" t="s">
        <v>23</v>
      </c>
      <c r="D158" t="s">
        <v>24</v>
      </c>
      <c r="E158" t="s">
        <v>15</v>
      </c>
      <c r="F158" s="7">
        <v>45081</v>
      </c>
      <c r="G158">
        <v>390</v>
      </c>
      <c r="H158">
        <v>302.3</v>
      </c>
      <c r="I158">
        <v>143.22999999999999</v>
      </c>
      <c r="J158">
        <v>117897</v>
      </c>
      <c r="K158">
        <f t="shared" si="2"/>
        <v>62037.30000000001</v>
      </c>
    </row>
    <row r="159" spans="1:11" x14ac:dyDescent="0.45">
      <c r="A159" t="s">
        <v>48</v>
      </c>
      <c r="B159" t="s">
        <v>26</v>
      </c>
      <c r="C159" t="s">
        <v>27</v>
      </c>
      <c r="D159" t="s">
        <v>14</v>
      </c>
      <c r="E159" t="s">
        <v>20</v>
      </c>
      <c r="F159" s="7">
        <v>45082</v>
      </c>
      <c r="G159">
        <v>469</v>
      </c>
      <c r="H159">
        <v>470.73</v>
      </c>
      <c r="I159">
        <v>166.03</v>
      </c>
      <c r="J159">
        <v>220772.37</v>
      </c>
      <c r="K159">
        <f t="shared" si="2"/>
        <v>142904.30000000002</v>
      </c>
    </row>
    <row r="160" spans="1:11" x14ac:dyDescent="0.45">
      <c r="A160" t="s">
        <v>11</v>
      </c>
      <c r="B160" t="s">
        <v>31</v>
      </c>
      <c r="C160" t="s">
        <v>19</v>
      </c>
      <c r="D160" t="s">
        <v>14</v>
      </c>
      <c r="E160" t="s">
        <v>15</v>
      </c>
      <c r="F160" s="7">
        <v>45083</v>
      </c>
      <c r="G160">
        <v>16</v>
      </c>
      <c r="H160">
        <v>255.39500000000001</v>
      </c>
      <c r="I160">
        <v>220.75</v>
      </c>
      <c r="J160">
        <v>4086.32</v>
      </c>
      <c r="K160">
        <f t="shared" si="2"/>
        <v>554.32000000000016</v>
      </c>
    </row>
    <row r="161" spans="1:11" x14ac:dyDescent="0.45">
      <c r="A161" t="s">
        <v>48</v>
      </c>
      <c r="B161" t="s">
        <v>18</v>
      </c>
      <c r="C161" t="s">
        <v>42</v>
      </c>
      <c r="D161" t="s">
        <v>24</v>
      </c>
      <c r="E161" t="s">
        <v>20</v>
      </c>
      <c r="F161" s="7">
        <v>45084</v>
      </c>
      <c r="G161">
        <v>38</v>
      </c>
      <c r="H161">
        <v>335.15</v>
      </c>
      <c r="I161">
        <v>332.55</v>
      </c>
      <c r="J161">
        <v>12735.7</v>
      </c>
      <c r="K161">
        <f t="shared" si="2"/>
        <v>98.799999999998704</v>
      </c>
    </row>
    <row r="162" spans="1:11" x14ac:dyDescent="0.45">
      <c r="A162" t="s">
        <v>22</v>
      </c>
      <c r="B162" t="s">
        <v>31</v>
      </c>
      <c r="C162" t="s">
        <v>13</v>
      </c>
      <c r="D162" t="s">
        <v>24</v>
      </c>
      <c r="E162" t="s">
        <v>28</v>
      </c>
      <c r="F162" s="7">
        <v>45085</v>
      </c>
      <c r="G162">
        <v>404</v>
      </c>
      <c r="H162">
        <v>290.70999999999998</v>
      </c>
      <c r="I162">
        <v>29.35</v>
      </c>
      <c r="J162">
        <v>117446.84</v>
      </c>
      <c r="K162">
        <f t="shared" si="2"/>
        <v>105589.43999999999</v>
      </c>
    </row>
    <row r="163" spans="1:11" x14ac:dyDescent="0.45">
      <c r="A163" t="s">
        <v>17</v>
      </c>
      <c r="B163" t="s">
        <v>12</v>
      </c>
      <c r="C163" t="s">
        <v>19</v>
      </c>
      <c r="D163" t="s">
        <v>14</v>
      </c>
      <c r="E163" t="s">
        <v>20</v>
      </c>
      <c r="F163" s="7">
        <v>45086</v>
      </c>
      <c r="G163">
        <v>42</v>
      </c>
      <c r="H163">
        <v>177.54</v>
      </c>
      <c r="I163">
        <v>170.87</v>
      </c>
      <c r="J163">
        <v>7456.6799999999994</v>
      </c>
      <c r="K163">
        <f t="shared" si="2"/>
        <v>280.13999999999947</v>
      </c>
    </row>
    <row r="164" spans="1:11" x14ac:dyDescent="0.45">
      <c r="A164" t="s">
        <v>11</v>
      </c>
      <c r="B164" t="s">
        <v>26</v>
      </c>
      <c r="C164" t="s">
        <v>27</v>
      </c>
      <c r="D164" t="s">
        <v>24</v>
      </c>
      <c r="E164" t="s">
        <v>20</v>
      </c>
      <c r="F164" s="7">
        <v>45087</v>
      </c>
      <c r="G164">
        <v>143</v>
      </c>
      <c r="H164">
        <v>83.85</v>
      </c>
      <c r="I164">
        <v>34.880000000000003</v>
      </c>
      <c r="J164">
        <v>11990.55</v>
      </c>
      <c r="K164">
        <f t="shared" si="2"/>
        <v>7002.7099999999991</v>
      </c>
    </row>
    <row r="165" spans="1:11" x14ac:dyDescent="0.45">
      <c r="A165" t="s">
        <v>22</v>
      </c>
      <c r="B165" t="s">
        <v>26</v>
      </c>
      <c r="C165" t="s">
        <v>23</v>
      </c>
      <c r="D165" t="s">
        <v>14</v>
      </c>
      <c r="E165" t="s">
        <v>15</v>
      </c>
      <c r="F165" s="7">
        <v>45088</v>
      </c>
      <c r="G165">
        <v>376</v>
      </c>
      <c r="H165">
        <v>304.45</v>
      </c>
      <c r="I165">
        <v>206.83</v>
      </c>
      <c r="J165">
        <v>114473.2</v>
      </c>
      <c r="K165">
        <f t="shared" si="2"/>
        <v>36705.119999999988</v>
      </c>
    </row>
    <row r="166" spans="1:11" x14ac:dyDescent="0.45">
      <c r="A166" t="s">
        <v>17</v>
      </c>
      <c r="B166" t="s">
        <v>50</v>
      </c>
      <c r="C166" t="s">
        <v>42</v>
      </c>
      <c r="D166" t="s">
        <v>14</v>
      </c>
      <c r="E166" t="s">
        <v>15</v>
      </c>
      <c r="F166" s="7">
        <v>45089</v>
      </c>
      <c r="G166">
        <v>88</v>
      </c>
      <c r="H166">
        <v>162.47</v>
      </c>
      <c r="I166">
        <v>359.76</v>
      </c>
      <c r="J166">
        <v>14297.36</v>
      </c>
      <c r="K166">
        <f t="shared" si="2"/>
        <v>-17361.52</v>
      </c>
    </row>
    <row r="167" spans="1:11" x14ac:dyDescent="0.45">
      <c r="A167" t="s">
        <v>17</v>
      </c>
      <c r="B167" t="s">
        <v>26</v>
      </c>
      <c r="C167" t="s">
        <v>13</v>
      </c>
      <c r="D167" t="s">
        <v>14</v>
      </c>
      <c r="E167" t="s">
        <v>20</v>
      </c>
      <c r="F167" s="7">
        <v>45090</v>
      </c>
      <c r="G167">
        <v>425</v>
      </c>
      <c r="H167">
        <v>433.89</v>
      </c>
      <c r="I167">
        <v>313.43</v>
      </c>
      <c r="J167">
        <v>184403.25</v>
      </c>
      <c r="K167">
        <f t="shared" si="2"/>
        <v>51195.499999999993</v>
      </c>
    </row>
    <row r="168" spans="1:11" x14ac:dyDescent="0.45">
      <c r="A168" t="s">
        <v>48</v>
      </c>
      <c r="B168" t="s">
        <v>50</v>
      </c>
      <c r="C168" t="s">
        <v>13</v>
      </c>
      <c r="D168" t="s">
        <v>24</v>
      </c>
      <c r="E168" t="s">
        <v>15</v>
      </c>
      <c r="F168" s="7">
        <v>45091</v>
      </c>
      <c r="G168">
        <v>444</v>
      </c>
      <c r="H168">
        <v>496.7</v>
      </c>
      <c r="I168">
        <v>92.68</v>
      </c>
      <c r="J168">
        <v>220534.8</v>
      </c>
      <c r="K168">
        <f t="shared" si="2"/>
        <v>179384.88</v>
      </c>
    </row>
    <row r="169" spans="1:11" x14ac:dyDescent="0.45">
      <c r="A169" t="s">
        <v>22</v>
      </c>
      <c r="B169" t="s">
        <v>18</v>
      </c>
      <c r="C169" t="s">
        <v>19</v>
      </c>
      <c r="D169" t="s">
        <v>14</v>
      </c>
      <c r="E169" t="s">
        <v>28</v>
      </c>
      <c r="F169" s="7">
        <v>45092</v>
      </c>
      <c r="G169">
        <v>468</v>
      </c>
      <c r="H169">
        <v>377.45</v>
      </c>
      <c r="I169">
        <v>390.44</v>
      </c>
      <c r="J169">
        <v>176646.6</v>
      </c>
      <c r="K169">
        <f t="shared" si="2"/>
        <v>-6079.3200000000043</v>
      </c>
    </row>
    <row r="170" spans="1:11" x14ac:dyDescent="0.45">
      <c r="A170" t="s">
        <v>17</v>
      </c>
      <c r="B170" t="s">
        <v>12</v>
      </c>
      <c r="C170" t="s">
        <v>27</v>
      </c>
      <c r="D170" t="s">
        <v>14</v>
      </c>
      <c r="E170" t="s">
        <v>28</v>
      </c>
      <c r="F170" s="7">
        <v>45093</v>
      </c>
      <c r="G170">
        <v>67</v>
      </c>
      <c r="H170">
        <v>49.79</v>
      </c>
      <c r="I170">
        <v>267.61</v>
      </c>
      <c r="J170">
        <v>3335.93</v>
      </c>
      <c r="K170">
        <f t="shared" si="2"/>
        <v>-14593.940000000002</v>
      </c>
    </row>
    <row r="171" spans="1:11" x14ac:dyDescent="0.45">
      <c r="A171" t="s">
        <v>11</v>
      </c>
      <c r="B171" t="s">
        <v>50</v>
      </c>
      <c r="C171" t="s">
        <v>42</v>
      </c>
      <c r="D171" t="s">
        <v>24</v>
      </c>
      <c r="E171" t="s">
        <v>15</v>
      </c>
      <c r="F171" s="7">
        <v>45094</v>
      </c>
      <c r="G171">
        <v>480</v>
      </c>
      <c r="H171">
        <v>147.9</v>
      </c>
      <c r="I171">
        <v>6.15</v>
      </c>
      <c r="J171">
        <v>70992</v>
      </c>
      <c r="K171">
        <f t="shared" si="2"/>
        <v>68040</v>
      </c>
    </row>
    <row r="172" spans="1:11" x14ac:dyDescent="0.45">
      <c r="A172" t="s">
        <v>11</v>
      </c>
      <c r="B172" t="s">
        <v>18</v>
      </c>
      <c r="C172" t="s">
        <v>27</v>
      </c>
      <c r="D172" t="s">
        <v>24</v>
      </c>
      <c r="E172" t="s">
        <v>28</v>
      </c>
      <c r="F172" s="7">
        <v>45095</v>
      </c>
      <c r="G172">
        <v>35</v>
      </c>
      <c r="H172">
        <v>59.01</v>
      </c>
      <c r="I172">
        <v>103.65</v>
      </c>
      <c r="J172">
        <v>2065.35</v>
      </c>
      <c r="K172">
        <f t="shared" si="2"/>
        <v>-1562.4000000000003</v>
      </c>
    </row>
    <row r="173" spans="1:11" x14ac:dyDescent="0.45">
      <c r="A173" t="s">
        <v>48</v>
      </c>
      <c r="B173" t="s">
        <v>26</v>
      </c>
      <c r="C173" t="s">
        <v>42</v>
      </c>
      <c r="D173" t="s">
        <v>24</v>
      </c>
      <c r="E173" t="s">
        <v>15</v>
      </c>
      <c r="F173" s="7">
        <v>45096</v>
      </c>
      <c r="G173">
        <v>491</v>
      </c>
      <c r="H173">
        <v>327</v>
      </c>
      <c r="I173">
        <v>105.76</v>
      </c>
      <c r="J173">
        <v>160557</v>
      </c>
      <c r="K173">
        <f t="shared" si="2"/>
        <v>108628.84000000001</v>
      </c>
    </row>
    <row r="174" spans="1:11" x14ac:dyDescent="0.45">
      <c r="A174" t="s">
        <v>17</v>
      </c>
      <c r="B174" t="s">
        <v>26</v>
      </c>
      <c r="C174" t="s">
        <v>19</v>
      </c>
      <c r="D174" t="s">
        <v>24</v>
      </c>
      <c r="E174" t="s">
        <v>20</v>
      </c>
      <c r="F174" s="7">
        <v>45097</v>
      </c>
      <c r="G174">
        <v>439</v>
      </c>
      <c r="H174">
        <v>383.77</v>
      </c>
      <c r="I174">
        <v>29.56</v>
      </c>
      <c r="J174">
        <v>168475.03</v>
      </c>
      <c r="K174">
        <f t="shared" si="2"/>
        <v>155498.19</v>
      </c>
    </row>
    <row r="175" spans="1:11" x14ac:dyDescent="0.45">
      <c r="A175" t="s">
        <v>22</v>
      </c>
      <c r="B175" t="s">
        <v>18</v>
      </c>
      <c r="C175" t="s">
        <v>19</v>
      </c>
      <c r="D175" t="s">
        <v>14</v>
      </c>
      <c r="E175" t="s">
        <v>20</v>
      </c>
      <c r="F175" s="7">
        <v>45098</v>
      </c>
      <c r="G175">
        <v>235</v>
      </c>
      <c r="H175">
        <v>463.21</v>
      </c>
      <c r="I175">
        <v>384.01</v>
      </c>
      <c r="J175">
        <v>108854.35</v>
      </c>
      <c r="K175">
        <f t="shared" si="2"/>
        <v>18611.999999999996</v>
      </c>
    </row>
    <row r="176" spans="1:11" x14ac:dyDescent="0.45">
      <c r="A176" t="s">
        <v>11</v>
      </c>
      <c r="B176" t="s">
        <v>26</v>
      </c>
      <c r="C176" t="s">
        <v>13</v>
      </c>
      <c r="D176" t="s">
        <v>14</v>
      </c>
      <c r="E176" t="s">
        <v>28</v>
      </c>
      <c r="F176" s="7">
        <v>45099</v>
      </c>
      <c r="G176">
        <v>294</v>
      </c>
      <c r="H176">
        <v>221.9</v>
      </c>
      <c r="I176">
        <v>192.35</v>
      </c>
      <c r="J176">
        <v>65238.6</v>
      </c>
      <c r="K176">
        <f t="shared" si="2"/>
        <v>8687.7000000000025</v>
      </c>
    </row>
    <row r="177" spans="1:11" x14ac:dyDescent="0.45">
      <c r="A177" t="s">
        <v>17</v>
      </c>
      <c r="B177" t="s">
        <v>18</v>
      </c>
      <c r="C177" t="s">
        <v>27</v>
      </c>
      <c r="D177" t="s">
        <v>14</v>
      </c>
      <c r="E177" t="s">
        <v>15</v>
      </c>
      <c r="F177" s="7">
        <v>45100</v>
      </c>
      <c r="G177">
        <v>13</v>
      </c>
      <c r="H177">
        <v>451.18</v>
      </c>
      <c r="I177">
        <v>358.53</v>
      </c>
      <c r="J177">
        <v>5865.34</v>
      </c>
      <c r="K177">
        <f t="shared" si="2"/>
        <v>1204.4500000000005</v>
      </c>
    </row>
    <row r="178" spans="1:11" x14ac:dyDescent="0.45">
      <c r="A178" t="s">
        <v>17</v>
      </c>
      <c r="B178" t="s">
        <v>50</v>
      </c>
      <c r="C178" t="s">
        <v>13</v>
      </c>
      <c r="D178" t="s">
        <v>14</v>
      </c>
      <c r="E178" t="s">
        <v>15</v>
      </c>
      <c r="F178" s="7">
        <v>45101</v>
      </c>
      <c r="G178">
        <v>474</v>
      </c>
      <c r="H178">
        <v>439.56</v>
      </c>
      <c r="I178">
        <v>130.24</v>
      </c>
      <c r="J178">
        <v>208351.44</v>
      </c>
      <c r="K178">
        <f t="shared" si="2"/>
        <v>146617.68</v>
      </c>
    </row>
    <row r="179" spans="1:11" x14ac:dyDescent="0.45">
      <c r="A179" t="s">
        <v>48</v>
      </c>
      <c r="B179" t="s">
        <v>50</v>
      </c>
      <c r="C179" t="s">
        <v>27</v>
      </c>
      <c r="D179" t="s">
        <v>24</v>
      </c>
      <c r="E179" t="s">
        <v>28</v>
      </c>
      <c r="F179" s="7">
        <v>45102</v>
      </c>
      <c r="G179">
        <v>108</v>
      </c>
      <c r="H179">
        <v>162.01</v>
      </c>
      <c r="I179">
        <v>51.84</v>
      </c>
      <c r="J179">
        <v>17497.080000000002</v>
      </c>
      <c r="K179">
        <f t="shared" si="2"/>
        <v>11898.359999999999</v>
      </c>
    </row>
    <row r="180" spans="1:11" x14ac:dyDescent="0.45">
      <c r="A180" t="s">
        <v>11</v>
      </c>
      <c r="B180" t="s">
        <v>18</v>
      </c>
      <c r="C180" t="s">
        <v>13</v>
      </c>
      <c r="D180" t="s">
        <v>14</v>
      </c>
      <c r="E180" t="s">
        <v>20</v>
      </c>
      <c r="F180" s="7">
        <v>45103</v>
      </c>
      <c r="G180">
        <v>406</v>
      </c>
      <c r="H180">
        <v>435.11</v>
      </c>
      <c r="I180">
        <v>190.79</v>
      </c>
      <c r="J180">
        <v>176654.66</v>
      </c>
      <c r="K180">
        <f t="shared" si="2"/>
        <v>99193.920000000013</v>
      </c>
    </row>
    <row r="181" spans="1:11" x14ac:dyDescent="0.45">
      <c r="A181" t="s">
        <v>11</v>
      </c>
      <c r="B181" t="s">
        <v>50</v>
      </c>
      <c r="C181" t="s">
        <v>23</v>
      </c>
      <c r="D181" t="s">
        <v>14</v>
      </c>
      <c r="E181" t="s">
        <v>28</v>
      </c>
      <c r="F181" s="7">
        <v>45104</v>
      </c>
      <c r="G181">
        <v>498</v>
      </c>
      <c r="H181">
        <v>190.96</v>
      </c>
      <c r="I181">
        <v>47.35</v>
      </c>
      <c r="J181">
        <v>95098.08</v>
      </c>
      <c r="K181">
        <f t="shared" si="2"/>
        <v>71517.780000000013</v>
      </c>
    </row>
    <row r="182" spans="1:11" x14ac:dyDescent="0.45">
      <c r="A182" t="s">
        <v>22</v>
      </c>
      <c r="B182" t="s">
        <v>50</v>
      </c>
      <c r="C182" t="s">
        <v>23</v>
      </c>
      <c r="D182" t="s">
        <v>24</v>
      </c>
      <c r="E182" t="s">
        <v>20</v>
      </c>
      <c r="F182" s="7">
        <v>45105</v>
      </c>
      <c r="G182">
        <v>48</v>
      </c>
      <c r="H182">
        <v>151.94999999999999</v>
      </c>
      <c r="I182">
        <v>195.43</v>
      </c>
      <c r="J182">
        <v>7293.5999999999995</v>
      </c>
      <c r="K182">
        <f t="shared" si="2"/>
        <v>-2087.0400000000009</v>
      </c>
    </row>
    <row r="183" spans="1:11" x14ac:dyDescent="0.45">
      <c r="A183" t="s">
        <v>11</v>
      </c>
      <c r="B183" t="s">
        <v>50</v>
      </c>
      <c r="C183" t="s">
        <v>23</v>
      </c>
      <c r="D183" t="s">
        <v>14</v>
      </c>
      <c r="E183" t="s">
        <v>15</v>
      </c>
      <c r="F183" s="7">
        <v>45106</v>
      </c>
      <c r="G183">
        <v>280</v>
      </c>
      <c r="H183">
        <v>326.29000000000002</v>
      </c>
      <c r="I183">
        <v>368.28</v>
      </c>
      <c r="J183">
        <v>91361.200000000012</v>
      </c>
      <c r="K183">
        <f t="shared" si="2"/>
        <v>-11757.199999999986</v>
      </c>
    </row>
    <row r="184" spans="1:11" x14ac:dyDescent="0.45">
      <c r="A184" t="s">
        <v>22</v>
      </c>
      <c r="B184" t="s">
        <v>31</v>
      </c>
      <c r="C184" t="s">
        <v>23</v>
      </c>
      <c r="D184" t="s">
        <v>14</v>
      </c>
      <c r="E184" t="s">
        <v>20</v>
      </c>
      <c r="F184" s="7">
        <v>45107</v>
      </c>
      <c r="G184">
        <v>384</v>
      </c>
      <c r="H184">
        <v>167.55</v>
      </c>
      <c r="I184">
        <v>209.27</v>
      </c>
      <c r="J184">
        <v>64339.199999999997</v>
      </c>
      <c r="K184">
        <f t="shared" si="2"/>
        <v>-16020.48</v>
      </c>
    </row>
    <row r="185" spans="1:11" x14ac:dyDescent="0.45">
      <c r="A185" t="s">
        <v>11</v>
      </c>
      <c r="B185" t="s">
        <v>12</v>
      </c>
      <c r="C185" t="s">
        <v>42</v>
      </c>
      <c r="D185" t="s">
        <v>14</v>
      </c>
      <c r="E185" t="s">
        <v>28</v>
      </c>
      <c r="F185" s="7">
        <v>45108</v>
      </c>
      <c r="G185">
        <v>294</v>
      </c>
      <c r="H185">
        <v>316.95</v>
      </c>
      <c r="I185">
        <v>247.37</v>
      </c>
      <c r="J185">
        <v>93183.3</v>
      </c>
      <c r="K185">
        <f t="shared" si="2"/>
        <v>20456.519999999997</v>
      </c>
    </row>
    <row r="186" spans="1:11" x14ac:dyDescent="0.45">
      <c r="A186" t="s">
        <v>48</v>
      </c>
      <c r="B186" t="s">
        <v>26</v>
      </c>
      <c r="C186" t="s">
        <v>23</v>
      </c>
      <c r="D186" t="s">
        <v>14</v>
      </c>
      <c r="E186" t="s">
        <v>15</v>
      </c>
      <c r="F186" s="7">
        <v>45109</v>
      </c>
      <c r="G186">
        <v>166</v>
      </c>
      <c r="H186">
        <v>306.87</v>
      </c>
      <c r="I186">
        <v>64.34</v>
      </c>
      <c r="J186">
        <v>50940.42</v>
      </c>
      <c r="K186">
        <f t="shared" si="2"/>
        <v>40259.980000000003</v>
      </c>
    </row>
    <row r="187" spans="1:11" x14ac:dyDescent="0.45">
      <c r="A187" t="s">
        <v>11</v>
      </c>
      <c r="B187" t="s">
        <v>31</v>
      </c>
      <c r="C187" t="s">
        <v>19</v>
      </c>
      <c r="D187" t="s">
        <v>14</v>
      </c>
      <c r="E187" t="s">
        <v>28</v>
      </c>
      <c r="F187" s="7">
        <v>45110</v>
      </c>
      <c r="G187">
        <v>84</v>
      </c>
      <c r="H187">
        <v>283.89999999999998</v>
      </c>
      <c r="I187">
        <v>19.41</v>
      </c>
      <c r="J187">
        <v>23847.599999999999</v>
      </c>
      <c r="K187">
        <f t="shared" si="2"/>
        <v>22217.159999999996</v>
      </c>
    </row>
    <row r="188" spans="1:11" x14ac:dyDescent="0.45">
      <c r="A188" t="s">
        <v>22</v>
      </c>
      <c r="B188" t="s">
        <v>50</v>
      </c>
      <c r="C188" t="s">
        <v>19</v>
      </c>
      <c r="D188" t="s">
        <v>14</v>
      </c>
      <c r="E188" t="s">
        <v>28</v>
      </c>
      <c r="F188" s="7">
        <v>45111</v>
      </c>
      <c r="G188">
        <v>381</v>
      </c>
      <c r="H188">
        <v>193.31</v>
      </c>
      <c r="I188">
        <v>46.1</v>
      </c>
      <c r="J188">
        <v>73651.11</v>
      </c>
      <c r="K188">
        <f t="shared" si="2"/>
        <v>56087.01</v>
      </c>
    </row>
    <row r="189" spans="1:11" x14ac:dyDescent="0.45">
      <c r="A189" t="s">
        <v>22</v>
      </c>
      <c r="B189" t="s">
        <v>18</v>
      </c>
      <c r="C189" t="s">
        <v>42</v>
      </c>
      <c r="D189" t="s">
        <v>24</v>
      </c>
      <c r="E189" t="s">
        <v>20</v>
      </c>
      <c r="F189" s="7">
        <v>45112</v>
      </c>
      <c r="G189">
        <v>297</v>
      </c>
      <c r="H189">
        <v>276.51</v>
      </c>
      <c r="I189">
        <v>240.22</v>
      </c>
      <c r="J189">
        <v>82123.47</v>
      </c>
      <c r="K189">
        <f t="shared" si="2"/>
        <v>10778.129999999997</v>
      </c>
    </row>
    <row r="190" spans="1:11" x14ac:dyDescent="0.45">
      <c r="A190" t="s">
        <v>48</v>
      </c>
      <c r="B190" t="s">
        <v>50</v>
      </c>
      <c r="C190" t="s">
        <v>23</v>
      </c>
      <c r="D190" t="s">
        <v>24</v>
      </c>
      <c r="E190" t="s">
        <v>28</v>
      </c>
      <c r="F190" s="7">
        <v>45113</v>
      </c>
      <c r="G190">
        <v>139</v>
      </c>
      <c r="H190">
        <v>300.26</v>
      </c>
      <c r="I190">
        <v>39.81</v>
      </c>
      <c r="J190">
        <v>41736.14</v>
      </c>
      <c r="K190">
        <f t="shared" si="2"/>
        <v>36202.549999999996</v>
      </c>
    </row>
    <row r="191" spans="1:11" x14ac:dyDescent="0.45">
      <c r="A191" t="s">
        <v>11</v>
      </c>
      <c r="B191" t="s">
        <v>12</v>
      </c>
      <c r="C191" t="s">
        <v>23</v>
      </c>
      <c r="D191" t="s">
        <v>14</v>
      </c>
      <c r="E191" t="s">
        <v>20</v>
      </c>
      <c r="F191" s="7">
        <v>45114</v>
      </c>
      <c r="G191">
        <v>184</v>
      </c>
      <c r="H191">
        <v>275.12</v>
      </c>
      <c r="I191">
        <v>151.65</v>
      </c>
      <c r="J191">
        <v>50622.080000000002</v>
      </c>
      <c r="K191">
        <f t="shared" si="2"/>
        <v>22718.48</v>
      </c>
    </row>
    <row r="192" spans="1:11" x14ac:dyDescent="0.45">
      <c r="A192" t="s">
        <v>11</v>
      </c>
      <c r="B192" t="s">
        <v>50</v>
      </c>
      <c r="C192" t="s">
        <v>23</v>
      </c>
      <c r="D192" t="s">
        <v>14</v>
      </c>
      <c r="E192" t="s">
        <v>15</v>
      </c>
      <c r="F192" s="7">
        <v>45115</v>
      </c>
      <c r="G192">
        <v>471</v>
      </c>
      <c r="H192">
        <v>224.99</v>
      </c>
      <c r="I192">
        <v>220.94</v>
      </c>
      <c r="J192">
        <v>105970.29</v>
      </c>
      <c r="K192">
        <f t="shared" si="2"/>
        <v>1907.5500000000054</v>
      </c>
    </row>
    <row r="193" spans="1:11" x14ac:dyDescent="0.45">
      <c r="A193" t="s">
        <v>48</v>
      </c>
      <c r="B193" t="s">
        <v>18</v>
      </c>
      <c r="C193" t="s">
        <v>13</v>
      </c>
      <c r="D193" t="s">
        <v>24</v>
      </c>
      <c r="E193" t="s">
        <v>20</v>
      </c>
      <c r="F193" s="7">
        <v>45116</v>
      </c>
      <c r="G193">
        <v>93</v>
      </c>
      <c r="H193">
        <v>12.26</v>
      </c>
      <c r="I193">
        <v>156.68</v>
      </c>
      <c r="J193">
        <v>1140.18</v>
      </c>
      <c r="K193">
        <f t="shared" si="2"/>
        <v>-13431.060000000001</v>
      </c>
    </row>
    <row r="194" spans="1:11" x14ac:dyDescent="0.45">
      <c r="A194" t="s">
        <v>11</v>
      </c>
      <c r="B194" t="s">
        <v>12</v>
      </c>
      <c r="C194" t="s">
        <v>27</v>
      </c>
      <c r="D194" t="s">
        <v>14</v>
      </c>
      <c r="E194" t="s">
        <v>15</v>
      </c>
      <c r="F194" s="7">
        <v>45117</v>
      </c>
      <c r="G194">
        <v>31</v>
      </c>
      <c r="H194">
        <v>295.60000000000002</v>
      </c>
      <c r="I194">
        <v>67.150000000000006</v>
      </c>
      <c r="J194">
        <v>9163.6</v>
      </c>
      <c r="K194">
        <f t="shared" si="2"/>
        <v>7081.9500000000007</v>
      </c>
    </row>
    <row r="195" spans="1:11" x14ac:dyDescent="0.45">
      <c r="A195" t="s">
        <v>11</v>
      </c>
      <c r="B195" t="s">
        <v>50</v>
      </c>
      <c r="C195" t="s">
        <v>13</v>
      </c>
      <c r="D195" t="s">
        <v>14</v>
      </c>
      <c r="E195" t="s">
        <v>20</v>
      </c>
      <c r="F195" s="7">
        <v>45118</v>
      </c>
      <c r="G195">
        <v>468</v>
      </c>
      <c r="H195">
        <v>88.38</v>
      </c>
      <c r="I195">
        <v>110.97</v>
      </c>
      <c r="J195">
        <v>41361.839999999997</v>
      </c>
      <c r="K195">
        <f t="shared" si="2"/>
        <v>-10572.12</v>
      </c>
    </row>
    <row r="196" spans="1:11" x14ac:dyDescent="0.45">
      <c r="A196" t="s">
        <v>22</v>
      </c>
      <c r="B196" t="s">
        <v>12</v>
      </c>
      <c r="C196" t="s">
        <v>27</v>
      </c>
      <c r="D196" t="s">
        <v>14</v>
      </c>
      <c r="E196" t="s">
        <v>28</v>
      </c>
      <c r="F196" s="7">
        <v>45119</v>
      </c>
      <c r="G196">
        <v>36</v>
      </c>
      <c r="H196">
        <v>323.08</v>
      </c>
      <c r="I196">
        <v>371.47</v>
      </c>
      <c r="J196">
        <v>11630.88</v>
      </c>
      <c r="K196">
        <f t="shared" si="2"/>
        <v>-1742.0400000000016</v>
      </c>
    </row>
    <row r="197" spans="1:11" x14ac:dyDescent="0.45">
      <c r="A197" t="s">
        <v>11</v>
      </c>
      <c r="B197" t="s">
        <v>26</v>
      </c>
      <c r="C197" t="s">
        <v>23</v>
      </c>
      <c r="D197" t="s">
        <v>24</v>
      </c>
      <c r="E197" t="s">
        <v>20</v>
      </c>
      <c r="F197" s="7">
        <v>45120</v>
      </c>
      <c r="G197">
        <v>204</v>
      </c>
      <c r="H197">
        <v>380.88</v>
      </c>
      <c r="I197">
        <v>271.04000000000002</v>
      </c>
      <c r="J197">
        <v>77699.520000000004</v>
      </c>
      <c r="K197">
        <f t="shared" ref="K197:K260" si="3">(H197-I197)*G197</f>
        <v>22407.359999999993</v>
      </c>
    </row>
    <row r="198" spans="1:11" x14ac:dyDescent="0.45">
      <c r="A198" t="s">
        <v>11</v>
      </c>
      <c r="B198" t="s">
        <v>26</v>
      </c>
      <c r="C198" t="s">
        <v>23</v>
      </c>
      <c r="D198" t="s">
        <v>14</v>
      </c>
      <c r="E198" t="s">
        <v>20</v>
      </c>
      <c r="F198" s="7">
        <v>45121</v>
      </c>
      <c r="G198">
        <v>346</v>
      </c>
      <c r="H198">
        <v>252.72</v>
      </c>
      <c r="I198">
        <v>199.43</v>
      </c>
      <c r="J198">
        <v>87441.12</v>
      </c>
      <c r="K198">
        <f t="shared" si="3"/>
        <v>18438.339999999997</v>
      </c>
    </row>
    <row r="199" spans="1:11" x14ac:dyDescent="0.45">
      <c r="A199" t="s">
        <v>48</v>
      </c>
      <c r="B199" t="s">
        <v>50</v>
      </c>
      <c r="C199" t="s">
        <v>13</v>
      </c>
      <c r="D199" t="s">
        <v>24</v>
      </c>
      <c r="E199" t="s">
        <v>15</v>
      </c>
      <c r="F199" s="7">
        <v>45122</v>
      </c>
      <c r="G199">
        <v>391</v>
      </c>
      <c r="H199">
        <v>273.47000000000003</v>
      </c>
      <c r="I199">
        <v>7.06</v>
      </c>
      <c r="J199">
        <v>106926.77</v>
      </c>
      <c r="K199">
        <f t="shared" si="3"/>
        <v>104166.31000000001</v>
      </c>
    </row>
    <row r="200" spans="1:11" x14ac:dyDescent="0.45">
      <c r="A200" t="s">
        <v>48</v>
      </c>
      <c r="B200" t="s">
        <v>12</v>
      </c>
      <c r="C200" t="s">
        <v>13</v>
      </c>
      <c r="D200" t="s">
        <v>14</v>
      </c>
      <c r="E200" t="s">
        <v>28</v>
      </c>
      <c r="F200" s="7">
        <v>45123</v>
      </c>
      <c r="G200">
        <v>245</v>
      </c>
      <c r="H200">
        <v>475.98</v>
      </c>
      <c r="I200">
        <v>396.98</v>
      </c>
      <c r="J200">
        <v>116615.1</v>
      </c>
      <c r="K200">
        <f t="shared" si="3"/>
        <v>19355</v>
      </c>
    </row>
    <row r="201" spans="1:11" x14ac:dyDescent="0.45">
      <c r="A201" t="s">
        <v>17</v>
      </c>
      <c r="B201" t="s">
        <v>18</v>
      </c>
      <c r="C201" t="s">
        <v>27</v>
      </c>
      <c r="D201" t="s">
        <v>24</v>
      </c>
      <c r="E201" t="s">
        <v>20</v>
      </c>
      <c r="F201" s="7">
        <v>45124</v>
      </c>
      <c r="G201">
        <v>449</v>
      </c>
      <c r="H201">
        <v>424.35</v>
      </c>
      <c r="I201">
        <v>269.24</v>
      </c>
      <c r="J201">
        <v>190533.15</v>
      </c>
      <c r="K201">
        <f t="shared" si="3"/>
        <v>69644.39</v>
      </c>
    </row>
    <row r="202" spans="1:11" x14ac:dyDescent="0.45">
      <c r="A202" t="s">
        <v>22</v>
      </c>
      <c r="B202" t="s">
        <v>50</v>
      </c>
      <c r="C202" t="s">
        <v>19</v>
      </c>
      <c r="D202" t="s">
        <v>24</v>
      </c>
      <c r="E202" t="s">
        <v>28</v>
      </c>
      <c r="F202" s="7">
        <v>45125</v>
      </c>
      <c r="G202">
        <v>101</v>
      </c>
      <c r="H202">
        <v>457.55</v>
      </c>
      <c r="I202">
        <v>128.13999999999999</v>
      </c>
      <c r="J202">
        <v>46212.55</v>
      </c>
      <c r="K202">
        <f t="shared" si="3"/>
        <v>33270.410000000003</v>
      </c>
    </row>
    <row r="203" spans="1:11" x14ac:dyDescent="0.45">
      <c r="A203" t="s">
        <v>11</v>
      </c>
      <c r="B203" t="s">
        <v>26</v>
      </c>
      <c r="C203" t="s">
        <v>27</v>
      </c>
      <c r="D203" t="s">
        <v>14</v>
      </c>
      <c r="E203" t="s">
        <v>20</v>
      </c>
      <c r="F203" s="7">
        <v>45126</v>
      </c>
      <c r="G203">
        <v>248.5</v>
      </c>
      <c r="H203">
        <v>407.81</v>
      </c>
      <c r="I203">
        <v>351.95</v>
      </c>
      <c r="J203">
        <v>101340.785</v>
      </c>
      <c r="K203">
        <f t="shared" si="3"/>
        <v>13881.210000000003</v>
      </c>
    </row>
    <row r="204" spans="1:11" x14ac:dyDescent="0.45">
      <c r="A204" t="s">
        <v>11</v>
      </c>
      <c r="B204" t="s">
        <v>26</v>
      </c>
      <c r="C204" t="s">
        <v>13</v>
      </c>
      <c r="D204" t="s">
        <v>24</v>
      </c>
      <c r="E204" t="s">
        <v>20</v>
      </c>
      <c r="F204" s="7">
        <v>45127</v>
      </c>
      <c r="G204">
        <v>30</v>
      </c>
      <c r="H204">
        <v>58.91</v>
      </c>
      <c r="I204">
        <v>104.86</v>
      </c>
      <c r="J204">
        <v>1767.3</v>
      </c>
      <c r="K204">
        <f t="shared" si="3"/>
        <v>-1378.5</v>
      </c>
    </row>
    <row r="205" spans="1:11" x14ac:dyDescent="0.45">
      <c r="A205" t="s">
        <v>17</v>
      </c>
      <c r="B205" t="s">
        <v>50</v>
      </c>
      <c r="C205" t="s">
        <v>13</v>
      </c>
      <c r="D205" t="s">
        <v>14</v>
      </c>
      <c r="E205" t="s">
        <v>28</v>
      </c>
      <c r="F205" s="7">
        <v>45128</v>
      </c>
      <c r="G205">
        <v>312</v>
      </c>
      <c r="H205">
        <v>78.75</v>
      </c>
      <c r="I205">
        <v>218.52</v>
      </c>
      <c r="J205">
        <v>24570</v>
      </c>
      <c r="K205">
        <f t="shared" si="3"/>
        <v>-43608.240000000005</v>
      </c>
    </row>
    <row r="206" spans="1:11" x14ac:dyDescent="0.45">
      <c r="A206" t="s">
        <v>11</v>
      </c>
      <c r="B206" t="s">
        <v>12</v>
      </c>
      <c r="C206" t="s">
        <v>42</v>
      </c>
      <c r="D206" t="s">
        <v>24</v>
      </c>
      <c r="E206" t="s">
        <v>20</v>
      </c>
      <c r="F206" s="7">
        <v>45129</v>
      </c>
      <c r="G206">
        <v>473</v>
      </c>
      <c r="H206">
        <v>265.68</v>
      </c>
      <c r="I206">
        <v>255.16</v>
      </c>
      <c r="J206">
        <v>125666.64</v>
      </c>
      <c r="K206">
        <f t="shared" si="3"/>
        <v>4975.9600000000046</v>
      </c>
    </row>
    <row r="207" spans="1:11" x14ac:dyDescent="0.45">
      <c r="A207" t="s">
        <v>22</v>
      </c>
      <c r="B207" t="s">
        <v>26</v>
      </c>
      <c r="C207" t="s">
        <v>13</v>
      </c>
      <c r="D207" t="s">
        <v>14</v>
      </c>
      <c r="E207" t="s">
        <v>28</v>
      </c>
      <c r="F207" s="7">
        <v>45130</v>
      </c>
      <c r="G207">
        <v>366</v>
      </c>
      <c r="H207">
        <v>126.8</v>
      </c>
      <c r="I207">
        <v>89.98</v>
      </c>
      <c r="J207">
        <v>46408.800000000003</v>
      </c>
      <c r="K207">
        <f t="shared" si="3"/>
        <v>13476.119999999997</v>
      </c>
    </row>
    <row r="208" spans="1:11" x14ac:dyDescent="0.45">
      <c r="A208" t="s">
        <v>17</v>
      </c>
      <c r="B208" t="s">
        <v>12</v>
      </c>
      <c r="C208" t="s">
        <v>42</v>
      </c>
      <c r="D208" t="s">
        <v>14</v>
      </c>
      <c r="E208" t="s">
        <v>20</v>
      </c>
      <c r="F208" s="7">
        <v>45131</v>
      </c>
      <c r="G208">
        <v>452</v>
      </c>
      <c r="H208">
        <v>240.96</v>
      </c>
      <c r="I208">
        <v>391.4</v>
      </c>
      <c r="J208">
        <v>108913.92</v>
      </c>
      <c r="K208">
        <f t="shared" si="3"/>
        <v>-67998.87999999999</v>
      </c>
    </row>
    <row r="209" spans="1:11" x14ac:dyDescent="0.45">
      <c r="A209" t="s">
        <v>22</v>
      </c>
      <c r="B209" t="s">
        <v>26</v>
      </c>
      <c r="C209" t="s">
        <v>19</v>
      </c>
      <c r="D209" t="s">
        <v>24</v>
      </c>
      <c r="E209" t="s">
        <v>15</v>
      </c>
      <c r="F209" s="7">
        <v>45132</v>
      </c>
      <c r="G209">
        <v>93</v>
      </c>
      <c r="H209">
        <v>200.21</v>
      </c>
      <c r="I209">
        <v>299.77999999999997</v>
      </c>
      <c r="J209">
        <v>18619.53</v>
      </c>
      <c r="K209">
        <f t="shared" si="3"/>
        <v>-9260.0099999999966</v>
      </c>
    </row>
    <row r="210" spans="1:11" x14ac:dyDescent="0.45">
      <c r="A210" t="s">
        <v>17</v>
      </c>
      <c r="B210" t="s">
        <v>26</v>
      </c>
      <c r="C210" t="s">
        <v>27</v>
      </c>
      <c r="D210" t="s">
        <v>14</v>
      </c>
      <c r="E210" t="s">
        <v>28</v>
      </c>
      <c r="F210" s="7">
        <v>45133</v>
      </c>
      <c r="G210">
        <v>271</v>
      </c>
      <c r="H210">
        <v>276.95999999999998</v>
      </c>
      <c r="I210">
        <v>224.01</v>
      </c>
      <c r="J210">
        <v>75056.159999999989</v>
      </c>
      <c r="K210">
        <f t="shared" si="3"/>
        <v>14349.449999999997</v>
      </c>
    </row>
    <row r="211" spans="1:11" x14ac:dyDescent="0.45">
      <c r="A211" t="s">
        <v>17</v>
      </c>
      <c r="B211" t="s">
        <v>31</v>
      </c>
      <c r="C211" t="s">
        <v>27</v>
      </c>
      <c r="D211" t="s">
        <v>14</v>
      </c>
      <c r="E211" t="s">
        <v>20</v>
      </c>
      <c r="F211" s="7">
        <v>45134</v>
      </c>
      <c r="G211">
        <v>156</v>
      </c>
      <c r="H211">
        <v>374.7</v>
      </c>
      <c r="I211">
        <v>73.88</v>
      </c>
      <c r="J211">
        <v>58453.2</v>
      </c>
      <c r="K211">
        <f t="shared" si="3"/>
        <v>46927.92</v>
      </c>
    </row>
    <row r="212" spans="1:11" x14ac:dyDescent="0.45">
      <c r="A212" t="s">
        <v>48</v>
      </c>
      <c r="B212" t="s">
        <v>26</v>
      </c>
      <c r="C212" t="s">
        <v>42</v>
      </c>
      <c r="D212" t="s">
        <v>24</v>
      </c>
      <c r="E212" t="s">
        <v>20</v>
      </c>
      <c r="F212" s="7">
        <v>45135</v>
      </c>
      <c r="G212">
        <v>450</v>
      </c>
      <c r="H212">
        <v>359.17</v>
      </c>
      <c r="I212">
        <v>23.44</v>
      </c>
      <c r="J212">
        <v>161626.5</v>
      </c>
      <c r="K212">
        <f t="shared" si="3"/>
        <v>151078.5</v>
      </c>
    </row>
    <row r="213" spans="1:11" x14ac:dyDescent="0.45">
      <c r="A213" t="s">
        <v>22</v>
      </c>
      <c r="B213" t="s">
        <v>18</v>
      </c>
      <c r="C213" t="s">
        <v>27</v>
      </c>
      <c r="D213" t="s">
        <v>14</v>
      </c>
      <c r="E213" t="s">
        <v>15</v>
      </c>
      <c r="F213" s="7">
        <v>45136</v>
      </c>
      <c r="G213">
        <v>462</v>
      </c>
      <c r="H213">
        <v>263.01</v>
      </c>
      <c r="I213">
        <v>129.38</v>
      </c>
      <c r="J213">
        <v>121510.62</v>
      </c>
      <c r="K213">
        <f t="shared" si="3"/>
        <v>61737.06</v>
      </c>
    </row>
    <row r="214" spans="1:11" x14ac:dyDescent="0.45">
      <c r="A214" t="s">
        <v>11</v>
      </c>
      <c r="B214" t="s">
        <v>50</v>
      </c>
      <c r="C214" t="s">
        <v>13</v>
      </c>
      <c r="D214" t="s">
        <v>14</v>
      </c>
      <c r="E214" t="s">
        <v>28</v>
      </c>
      <c r="F214" s="7">
        <v>45137</v>
      </c>
      <c r="G214">
        <v>396</v>
      </c>
      <c r="H214">
        <v>412.08</v>
      </c>
      <c r="I214">
        <v>301.77</v>
      </c>
      <c r="J214">
        <v>163183.67999999999</v>
      </c>
      <c r="K214">
        <f t="shared" si="3"/>
        <v>43682.76</v>
      </c>
    </row>
    <row r="215" spans="1:11" x14ac:dyDescent="0.45">
      <c r="A215" t="s">
        <v>11</v>
      </c>
      <c r="B215" t="s">
        <v>50</v>
      </c>
      <c r="C215" t="s">
        <v>23</v>
      </c>
      <c r="D215" t="s">
        <v>24</v>
      </c>
      <c r="E215" t="s">
        <v>20</v>
      </c>
      <c r="F215" s="7">
        <v>45138</v>
      </c>
      <c r="G215">
        <v>266</v>
      </c>
      <c r="H215">
        <v>218.28</v>
      </c>
      <c r="I215">
        <v>109.19</v>
      </c>
      <c r="J215">
        <v>58062.48</v>
      </c>
      <c r="K215">
        <f t="shared" si="3"/>
        <v>29017.940000000002</v>
      </c>
    </row>
    <row r="216" spans="1:11" x14ac:dyDescent="0.45">
      <c r="A216" t="s">
        <v>22</v>
      </c>
      <c r="B216" t="s">
        <v>12</v>
      </c>
      <c r="C216" t="s">
        <v>42</v>
      </c>
      <c r="D216" t="s">
        <v>24</v>
      </c>
      <c r="E216" t="s">
        <v>15</v>
      </c>
      <c r="F216" s="7">
        <v>45139</v>
      </c>
      <c r="G216">
        <v>67</v>
      </c>
      <c r="H216">
        <v>448.87</v>
      </c>
      <c r="I216">
        <v>216.74</v>
      </c>
      <c r="J216">
        <v>30074.29</v>
      </c>
      <c r="K216">
        <f t="shared" si="3"/>
        <v>15552.71</v>
      </c>
    </row>
    <row r="217" spans="1:11" x14ac:dyDescent="0.45">
      <c r="A217" t="s">
        <v>11</v>
      </c>
      <c r="B217" t="s">
        <v>26</v>
      </c>
      <c r="C217" t="s">
        <v>27</v>
      </c>
      <c r="D217" t="s">
        <v>14</v>
      </c>
      <c r="E217" t="s">
        <v>20</v>
      </c>
      <c r="F217" s="7">
        <v>45140</v>
      </c>
      <c r="G217">
        <v>389</v>
      </c>
      <c r="H217">
        <v>40.28</v>
      </c>
      <c r="I217">
        <v>291.72000000000003</v>
      </c>
      <c r="J217">
        <v>15668.92</v>
      </c>
      <c r="K217">
        <f t="shared" si="3"/>
        <v>-97810.16</v>
      </c>
    </row>
    <row r="218" spans="1:11" x14ac:dyDescent="0.45">
      <c r="A218" t="s">
        <v>11</v>
      </c>
      <c r="B218" t="s">
        <v>18</v>
      </c>
      <c r="C218" t="s">
        <v>42</v>
      </c>
      <c r="D218" t="s">
        <v>14</v>
      </c>
      <c r="E218" t="s">
        <v>28</v>
      </c>
      <c r="F218" s="7">
        <v>45141</v>
      </c>
      <c r="G218">
        <v>431</v>
      </c>
      <c r="H218">
        <v>477.56</v>
      </c>
      <c r="I218">
        <v>44.96</v>
      </c>
      <c r="J218">
        <v>205828.36</v>
      </c>
      <c r="K218">
        <f t="shared" si="3"/>
        <v>186450.6</v>
      </c>
    </row>
    <row r="219" spans="1:11" x14ac:dyDescent="0.45">
      <c r="A219" t="s">
        <v>22</v>
      </c>
      <c r="B219" t="s">
        <v>12</v>
      </c>
      <c r="C219" t="s">
        <v>42</v>
      </c>
      <c r="D219" t="s">
        <v>24</v>
      </c>
      <c r="E219" t="s">
        <v>20</v>
      </c>
      <c r="F219" s="7">
        <v>45142</v>
      </c>
      <c r="G219">
        <v>24</v>
      </c>
      <c r="H219">
        <v>329.07</v>
      </c>
      <c r="I219">
        <v>274.75</v>
      </c>
      <c r="J219">
        <v>7897.68</v>
      </c>
      <c r="K219">
        <f t="shared" si="3"/>
        <v>1303.6799999999998</v>
      </c>
    </row>
    <row r="220" spans="1:11" x14ac:dyDescent="0.45">
      <c r="A220" t="s">
        <v>17</v>
      </c>
      <c r="B220" t="s">
        <v>31</v>
      </c>
      <c r="C220" t="s">
        <v>23</v>
      </c>
      <c r="D220" t="s">
        <v>24</v>
      </c>
      <c r="E220" t="s">
        <v>20</v>
      </c>
      <c r="F220" s="7">
        <v>45143</v>
      </c>
      <c r="G220">
        <v>171</v>
      </c>
      <c r="H220">
        <v>193.14</v>
      </c>
      <c r="I220">
        <v>38.56</v>
      </c>
      <c r="J220">
        <v>33026.94</v>
      </c>
      <c r="K220">
        <f t="shared" si="3"/>
        <v>26433.179999999997</v>
      </c>
    </row>
    <row r="221" spans="1:11" x14ac:dyDescent="0.45">
      <c r="A221" t="s">
        <v>22</v>
      </c>
      <c r="B221" t="s">
        <v>12</v>
      </c>
      <c r="C221" t="s">
        <v>13</v>
      </c>
      <c r="D221" t="s">
        <v>14</v>
      </c>
      <c r="E221" t="s">
        <v>20</v>
      </c>
      <c r="F221" s="7">
        <v>45144</v>
      </c>
      <c r="G221">
        <v>454</v>
      </c>
      <c r="H221">
        <v>102.59</v>
      </c>
      <c r="I221">
        <v>386.12</v>
      </c>
      <c r="J221">
        <v>46575.86</v>
      </c>
      <c r="K221">
        <f t="shared" si="3"/>
        <v>-128722.61999999998</v>
      </c>
    </row>
    <row r="222" spans="1:11" x14ac:dyDescent="0.45">
      <c r="A222" t="s">
        <v>17</v>
      </c>
      <c r="B222" t="s">
        <v>12</v>
      </c>
      <c r="C222" t="s">
        <v>42</v>
      </c>
      <c r="D222" t="s">
        <v>24</v>
      </c>
      <c r="E222" t="s">
        <v>20</v>
      </c>
      <c r="F222" s="7">
        <v>45145</v>
      </c>
      <c r="G222">
        <v>172</v>
      </c>
      <c r="H222">
        <v>242.2</v>
      </c>
      <c r="I222">
        <v>196.38</v>
      </c>
      <c r="J222">
        <v>41658.400000000001</v>
      </c>
      <c r="K222">
        <f t="shared" si="3"/>
        <v>7881.0399999999991</v>
      </c>
    </row>
    <row r="223" spans="1:11" x14ac:dyDescent="0.45">
      <c r="A223" t="s">
        <v>11</v>
      </c>
      <c r="B223" t="s">
        <v>26</v>
      </c>
      <c r="C223" t="s">
        <v>27</v>
      </c>
      <c r="D223" t="s">
        <v>14</v>
      </c>
      <c r="E223" t="s">
        <v>15</v>
      </c>
      <c r="F223" s="7">
        <v>45146</v>
      </c>
      <c r="G223">
        <v>329</v>
      </c>
      <c r="H223">
        <v>101.31</v>
      </c>
      <c r="I223">
        <v>61.97</v>
      </c>
      <c r="J223">
        <v>33330.99</v>
      </c>
      <c r="K223">
        <f t="shared" si="3"/>
        <v>12942.86</v>
      </c>
    </row>
    <row r="224" spans="1:11" x14ac:dyDescent="0.45">
      <c r="A224" t="s">
        <v>11</v>
      </c>
      <c r="B224" t="s">
        <v>31</v>
      </c>
      <c r="C224" t="s">
        <v>19</v>
      </c>
      <c r="D224" t="s">
        <v>14</v>
      </c>
      <c r="E224" t="s">
        <v>15</v>
      </c>
      <c r="F224" s="7">
        <v>45147</v>
      </c>
      <c r="G224">
        <v>290</v>
      </c>
      <c r="H224">
        <v>87.33</v>
      </c>
      <c r="I224">
        <v>138.27000000000001</v>
      </c>
      <c r="J224">
        <v>25325.7</v>
      </c>
      <c r="K224">
        <f t="shared" si="3"/>
        <v>-14772.600000000004</v>
      </c>
    </row>
    <row r="225" spans="1:11" x14ac:dyDescent="0.45">
      <c r="A225" t="s">
        <v>17</v>
      </c>
      <c r="B225" t="s">
        <v>12</v>
      </c>
      <c r="C225" t="s">
        <v>42</v>
      </c>
      <c r="D225" t="s">
        <v>14</v>
      </c>
      <c r="E225" t="s">
        <v>28</v>
      </c>
      <c r="F225" s="7">
        <v>45148</v>
      </c>
      <c r="G225">
        <v>289</v>
      </c>
      <c r="H225">
        <v>310.58999999999997</v>
      </c>
      <c r="I225">
        <v>166.54</v>
      </c>
      <c r="J225">
        <v>89760.51</v>
      </c>
      <c r="K225">
        <f t="shared" si="3"/>
        <v>41630.449999999997</v>
      </c>
    </row>
    <row r="226" spans="1:11" x14ac:dyDescent="0.45">
      <c r="A226" t="s">
        <v>48</v>
      </c>
      <c r="B226" t="s">
        <v>18</v>
      </c>
      <c r="C226" t="s">
        <v>42</v>
      </c>
      <c r="D226" t="s">
        <v>14</v>
      </c>
      <c r="E226" t="s">
        <v>15</v>
      </c>
      <c r="F226" s="7">
        <v>45149</v>
      </c>
      <c r="G226">
        <v>21</v>
      </c>
      <c r="H226">
        <v>263.93</v>
      </c>
      <c r="I226">
        <v>303.76</v>
      </c>
      <c r="J226">
        <v>5542.53</v>
      </c>
      <c r="K226">
        <f t="shared" si="3"/>
        <v>-836.42999999999961</v>
      </c>
    </row>
    <row r="227" spans="1:11" x14ac:dyDescent="0.45">
      <c r="A227" t="s">
        <v>17</v>
      </c>
      <c r="B227" t="s">
        <v>18</v>
      </c>
      <c r="C227" t="s">
        <v>23</v>
      </c>
      <c r="D227" t="s">
        <v>14</v>
      </c>
      <c r="E227" t="s">
        <v>15</v>
      </c>
      <c r="F227" s="7">
        <v>45150</v>
      </c>
      <c r="G227">
        <v>283</v>
      </c>
      <c r="H227">
        <v>336.7</v>
      </c>
      <c r="I227">
        <v>297.88</v>
      </c>
      <c r="J227">
        <v>95286.099999999991</v>
      </c>
      <c r="K227">
        <f t="shared" si="3"/>
        <v>10986.059999999998</v>
      </c>
    </row>
    <row r="228" spans="1:11" x14ac:dyDescent="0.45">
      <c r="A228" t="s">
        <v>48</v>
      </c>
      <c r="B228" t="s">
        <v>50</v>
      </c>
      <c r="C228" t="s">
        <v>13</v>
      </c>
      <c r="D228" t="s">
        <v>24</v>
      </c>
      <c r="E228" t="s">
        <v>28</v>
      </c>
      <c r="F228" s="7">
        <v>45151</v>
      </c>
      <c r="G228">
        <v>280</v>
      </c>
      <c r="H228">
        <v>465.15</v>
      </c>
      <c r="I228">
        <v>245.55</v>
      </c>
      <c r="J228">
        <v>130242</v>
      </c>
      <c r="K228">
        <f t="shared" si="3"/>
        <v>61487.999999999993</v>
      </c>
    </row>
    <row r="229" spans="1:11" x14ac:dyDescent="0.45">
      <c r="A229" t="s">
        <v>48</v>
      </c>
      <c r="B229" t="s">
        <v>31</v>
      </c>
      <c r="C229" t="s">
        <v>19</v>
      </c>
      <c r="D229" t="s">
        <v>24</v>
      </c>
      <c r="E229" t="s">
        <v>15</v>
      </c>
      <c r="F229" s="7">
        <v>45152</v>
      </c>
      <c r="G229">
        <v>217</v>
      </c>
      <c r="H229">
        <v>268.47000000000003</v>
      </c>
      <c r="I229">
        <v>44.16</v>
      </c>
      <c r="J229">
        <v>58257.990000000013</v>
      </c>
      <c r="K229">
        <f t="shared" si="3"/>
        <v>48675.270000000004</v>
      </c>
    </row>
    <row r="230" spans="1:11" x14ac:dyDescent="0.45">
      <c r="A230" t="s">
        <v>22</v>
      </c>
      <c r="B230" t="s">
        <v>31</v>
      </c>
      <c r="C230" t="s">
        <v>27</v>
      </c>
      <c r="D230" t="s">
        <v>24</v>
      </c>
      <c r="E230" t="s">
        <v>15</v>
      </c>
      <c r="F230" s="7">
        <v>45153</v>
      </c>
      <c r="G230">
        <v>36</v>
      </c>
      <c r="H230">
        <v>292.56</v>
      </c>
      <c r="I230">
        <v>62.32</v>
      </c>
      <c r="J230">
        <v>10532.16</v>
      </c>
      <c r="K230">
        <f t="shared" si="3"/>
        <v>8288.64</v>
      </c>
    </row>
    <row r="231" spans="1:11" x14ac:dyDescent="0.45">
      <c r="A231" t="s">
        <v>48</v>
      </c>
      <c r="B231" t="s">
        <v>50</v>
      </c>
      <c r="C231" t="s">
        <v>19</v>
      </c>
      <c r="D231" t="s">
        <v>24</v>
      </c>
      <c r="E231" t="s">
        <v>28</v>
      </c>
      <c r="F231" s="7">
        <v>45154</v>
      </c>
      <c r="G231">
        <v>248.5</v>
      </c>
      <c r="H231">
        <v>49.37</v>
      </c>
      <c r="I231">
        <v>39.32</v>
      </c>
      <c r="J231">
        <v>12268.445</v>
      </c>
      <c r="K231">
        <f t="shared" si="3"/>
        <v>2497.4249999999993</v>
      </c>
    </row>
    <row r="232" spans="1:11" x14ac:dyDescent="0.45">
      <c r="A232" t="s">
        <v>22</v>
      </c>
      <c r="B232" t="s">
        <v>12</v>
      </c>
      <c r="C232" t="s">
        <v>27</v>
      </c>
      <c r="D232" t="s">
        <v>14</v>
      </c>
      <c r="E232" t="s">
        <v>28</v>
      </c>
      <c r="F232" s="7">
        <v>45155</v>
      </c>
      <c r="G232">
        <v>69</v>
      </c>
      <c r="H232">
        <v>360.23</v>
      </c>
      <c r="I232">
        <v>231.71</v>
      </c>
      <c r="J232">
        <v>24855.87</v>
      </c>
      <c r="K232">
        <f t="shared" si="3"/>
        <v>8867.880000000001</v>
      </c>
    </row>
    <row r="233" spans="1:11" x14ac:dyDescent="0.45">
      <c r="A233" t="s">
        <v>22</v>
      </c>
      <c r="B233" t="s">
        <v>31</v>
      </c>
      <c r="C233" t="s">
        <v>13</v>
      </c>
      <c r="D233" t="s">
        <v>14</v>
      </c>
      <c r="E233" t="s">
        <v>28</v>
      </c>
      <c r="F233" s="7">
        <v>45156</v>
      </c>
      <c r="G233">
        <v>439</v>
      </c>
      <c r="H233">
        <v>202.95</v>
      </c>
      <c r="I233">
        <v>351.1</v>
      </c>
      <c r="J233">
        <v>89095.049999999988</v>
      </c>
      <c r="K233">
        <f t="shared" si="3"/>
        <v>-65037.850000000013</v>
      </c>
    </row>
    <row r="234" spans="1:11" x14ac:dyDescent="0.45">
      <c r="A234" t="s">
        <v>48</v>
      </c>
      <c r="B234" t="s">
        <v>18</v>
      </c>
      <c r="C234" t="s">
        <v>27</v>
      </c>
      <c r="D234" t="s">
        <v>14</v>
      </c>
      <c r="E234" t="s">
        <v>20</v>
      </c>
      <c r="F234" s="7">
        <v>45157</v>
      </c>
      <c r="G234">
        <v>482</v>
      </c>
      <c r="H234">
        <v>488.48</v>
      </c>
      <c r="I234">
        <v>174.65</v>
      </c>
      <c r="J234">
        <v>235447.36</v>
      </c>
      <c r="K234">
        <f t="shared" si="3"/>
        <v>151266.06000000003</v>
      </c>
    </row>
    <row r="235" spans="1:11" x14ac:dyDescent="0.45">
      <c r="A235" t="s">
        <v>17</v>
      </c>
      <c r="B235" t="s">
        <v>18</v>
      </c>
      <c r="C235" t="s">
        <v>23</v>
      </c>
      <c r="D235" t="s">
        <v>14</v>
      </c>
      <c r="E235" t="s">
        <v>20</v>
      </c>
      <c r="F235" s="7">
        <v>45158</v>
      </c>
      <c r="G235">
        <v>154</v>
      </c>
      <c r="H235">
        <v>412.47</v>
      </c>
      <c r="I235">
        <v>66.02</v>
      </c>
      <c r="J235">
        <v>63520.38</v>
      </c>
      <c r="K235">
        <f t="shared" si="3"/>
        <v>53353.30000000001</v>
      </c>
    </row>
    <row r="236" spans="1:11" x14ac:dyDescent="0.45">
      <c r="A236" t="s">
        <v>17</v>
      </c>
      <c r="B236" t="s">
        <v>26</v>
      </c>
      <c r="C236" t="s">
        <v>23</v>
      </c>
      <c r="D236" t="s">
        <v>24</v>
      </c>
      <c r="E236" t="s">
        <v>28</v>
      </c>
      <c r="F236" s="7">
        <v>45159</v>
      </c>
      <c r="G236">
        <v>102</v>
      </c>
      <c r="H236">
        <v>263.63</v>
      </c>
      <c r="I236">
        <v>224.1</v>
      </c>
      <c r="J236">
        <v>26890.26</v>
      </c>
      <c r="K236">
        <f t="shared" si="3"/>
        <v>4032.06</v>
      </c>
    </row>
    <row r="237" spans="1:11" x14ac:dyDescent="0.45">
      <c r="A237" t="s">
        <v>17</v>
      </c>
      <c r="B237" t="s">
        <v>31</v>
      </c>
      <c r="C237" t="s">
        <v>23</v>
      </c>
      <c r="D237" t="s">
        <v>14</v>
      </c>
      <c r="E237" t="s">
        <v>28</v>
      </c>
      <c r="F237" s="7">
        <v>45160</v>
      </c>
      <c r="G237">
        <v>318</v>
      </c>
      <c r="H237">
        <v>66</v>
      </c>
      <c r="I237">
        <v>325.08</v>
      </c>
      <c r="J237">
        <v>20988</v>
      </c>
      <c r="K237">
        <f t="shared" si="3"/>
        <v>-82387.439999999988</v>
      </c>
    </row>
    <row r="238" spans="1:11" x14ac:dyDescent="0.45">
      <c r="A238" t="s">
        <v>17</v>
      </c>
      <c r="B238" t="s">
        <v>12</v>
      </c>
      <c r="C238" t="s">
        <v>23</v>
      </c>
      <c r="D238" t="s">
        <v>14</v>
      </c>
      <c r="E238" t="s">
        <v>28</v>
      </c>
      <c r="F238" s="7">
        <v>45161</v>
      </c>
      <c r="G238">
        <v>17</v>
      </c>
      <c r="H238">
        <v>430.41</v>
      </c>
      <c r="I238">
        <v>297.2</v>
      </c>
      <c r="J238">
        <v>7316.97</v>
      </c>
      <c r="K238">
        <f t="shared" si="3"/>
        <v>2264.5700000000006</v>
      </c>
    </row>
    <row r="239" spans="1:11" x14ac:dyDescent="0.45">
      <c r="A239" t="s">
        <v>17</v>
      </c>
      <c r="B239" t="s">
        <v>50</v>
      </c>
      <c r="C239" t="s">
        <v>19</v>
      </c>
      <c r="D239" t="s">
        <v>24</v>
      </c>
      <c r="E239" t="s">
        <v>20</v>
      </c>
      <c r="F239" s="7">
        <v>45162</v>
      </c>
      <c r="G239">
        <v>88</v>
      </c>
      <c r="H239">
        <v>400.89</v>
      </c>
      <c r="I239">
        <v>352.82</v>
      </c>
      <c r="J239">
        <v>35278.32</v>
      </c>
      <c r="K239">
        <f t="shared" si="3"/>
        <v>4230.16</v>
      </c>
    </row>
    <row r="240" spans="1:11" x14ac:dyDescent="0.45">
      <c r="A240" t="s">
        <v>48</v>
      </c>
      <c r="B240" t="s">
        <v>50</v>
      </c>
      <c r="C240" t="s">
        <v>13</v>
      </c>
      <c r="D240" t="s">
        <v>24</v>
      </c>
      <c r="E240" t="s">
        <v>20</v>
      </c>
      <c r="F240" s="7">
        <v>45163</v>
      </c>
      <c r="G240">
        <v>36</v>
      </c>
      <c r="H240">
        <v>96.37</v>
      </c>
      <c r="I240">
        <v>112.61</v>
      </c>
      <c r="J240">
        <v>3469.32</v>
      </c>
      <c r="K240">
        <f t="shared" si="3"/>
        <v>-584.63999999999987</v>
      </c>
    </row>
    <row r="241" spans="1:11" x14ac:dyDescent="0.45">
      <c r="A241" t="s">
        <v>48</v>
      </c>
      <c r="B241" t="s">
        <v>12</v>
      </c>
      <c r="C241" t="s">
        <v>27</v>
      </c>
      <c r="D241" t="s">
        <v>24</v>
      </c>
      <c r="E241" t="s">
        <v>15</v>
      </c>
      <c r="F241" s="7">
        <v>45164</v>
      </c>
      <c r="G241">
        <v>183</v>
      </c>
      <c r="H241">
        <v>151.16</v>
      </c>
      <c r="I241">
        <v>79.19</v>
      </c>
      <c r="J241">
        <v>27662.28</v>
      </c>
      <c r="K241">
        <f t="shared" si="3"/>
        <v>13170.51</v>
      </c>
    </row>
    <row r="242" spans="1:11" x14ac:dyDescent="0.45">
      <c r="A242" t="s">
        <v>11</v>
      </c>
      <c r="B242" t="s">
        <v>26</v>
      </c>
      <c r="C242" t="s">
        <v>27</v>
      </c>
      <c r="D242" t="s">
        <v>24</v>
      </c>
      <c r="E242" t="s">
        <v>15</v>
      </c>
      <c r="F242" s="7">
        <v>45165</v>
      </c>
      <c r="G242">
        <v>59</v>
      </c>
      <c r="H242">
        <v>397.74</v>
      </c>
      <c r="I242">
        <v>352.17</v>
      </c>
      <c r="J242">
        <v>23466.66</v>
      </c>
      <c r="K242">
        <f t="shared" si="3"/>
        <v>2688.6299999999997</v>
      </c>
    </row>
    <row r="243" spans="1:11" x14ac:dyDescent="0.45">
      <c r="A243" t="s">
        <v>17</v>
      </c>
      <c r="B243" t="s">
        <v>50</v>
      </c>
      <c r="C243" t="s">
        <v>23</v>
      </c>
      <c r="D243" t="s">
        <v>14</v>
      </c>
      <c r="E243" t="s">
        <v>28</v>
      </c>
      <c r="F243" s="7">
        <v>45166</v>
      </c>
      <c r="G243">
        <v>208</v>
      </c>
      <c r="H243">
        <v>96.69</v>
      </c>
      <c r="I243">
        <v>263.70999999999998</v>
      </c>
      <c r="J243">
        <v>20111.52</v>
      </c>
      <c r="K243">
        <f t="shared" si="3"/>
        <v>-34740.159999999996</v>
      </c>
    </row>
    <row r="244" spans="1:11" x14ac:dyDescent="0.45">
      <c r="A244" t="s">
        <v>48</v>
      </c>
      <c r="B244" t="s">
        <v>31</v>
      </c>
      <c r="C244" t="s">
        <v>23</v>
      </c>
      <c r="D244" t="s">
        <v>14</v>
      </c>
      <c r="E244" t="s">
        <v>20</v>
      </c>
      <c r="F244" s="7">
        <v>45167</v>
      </c>
      <c r="G244">
        <v>396</v>
      </c>
      <c r="H244">
        <v>459.29</v>
      </c>
      <c r="I244">
        <v>125.75</v>
      </c>
      <c r="J244">
        <v>181878.84</v>
      </c>
      <c r="K244">
        <f t="shared" si="3"/>
        <v>132081.84</v>
      </c>
    </row>
    <row r="245" spans="1:11" x14ac:dyDescent="0.45">
      <c r="A245" t="s">
        <v>11</v>
      </c>
      <c r="B245" t="s">
        <v>26</v>
      </c>
      <c r="C245" t="s">
        <v>42</v>
      </c>
      <c r="D245" t="s">
        <v>24</v>
      </c>
      <c r="E245" t="s">
        <v>20</v>
      </c>
      <c r="F245" s="7">
        <v>45168</v>
      </c>
      <c r="G245">
        <v>358</v>
      </c>
      <c r="H245">
        <v>215.14</v>
      </c>
      <c r="I245">
        <v>297.45</v>
      </c>
      <c r="J245">
        <v>77020.12</v>
      </c>
      <c r="K245">
        <f t="shared" si="3"/>
        <v>-29466.98</v>
      </c>
    </row>
    <row r="246" spans="1:11" x14ac:dyDescent="0.45">
      <c r="A246" t="s">
        <v>17</v>
      </c>
      <c r="B246" t="s">
        <v>31</v>
      </c>
      <c r="C246" t="s">
        <v>13</v>
      </c>
      <c r="D246" t="s">
        <v>14</v>
      </c>
      <c r="E246" t="s">
        <v>20</v>
      </c>
      <c r="F246" s="7">
        <v>45169</v>
      </c>
      <c r="G246">
        <v>457</v>
      </c>
      <c r="H246">
        <v>48.08</v>
      </c>
      <c r="I246">
        <v>326.42</v>
      </c>
      <c r="J246">
        <v>21972.560000000001</v>
      </c>
      <c r="K246">
        <f t="shared" si="3"/>
        <v>-127201.38000000002</v>
      </c>
    </row>
    <row r="247" spans="1:11" x14ac:dyDescent="0.45">
      <c r="A247" t="s">
        <v>22</v>
      </c>
      <c r="B247" t="s">
        <v>18</v>
      </c>
      <c r="C247" t="s">
        <v>19</v>
      </c>
      <c r="D247" t="s">
        <v>14</v>
      </c>
      <c r="E247" t="s">
        <v>28</v>
      </c>
      <c r="F247" s="7">
        <v>45170</v>
      </c>
      <c r="G247">
        <v>437</v>
      </c>
      <c r="H247">
        <v>408.8</v>
      </c>
      <c r="I247">
        <v>246.76</v>
      </c>
      <c r="J247">
        <v>178645.6</v>
      </c>
      <c r="K247">
        <f t="shared" si="3"/>
        <v>70811.48000000001</v>
      </c>
    </row>
    <row r="248" spans="1:11" x14ac:dyDescent="0.45">
      <c r="A248" t="s">
        <v>11</v>
      </c>
      <c r="B248" t="s">
        <v>26</v>
      </c>
      <c r="C248" t="s">
        <v>27</v>
      </c>
      <c r="D248" t="s">
        <v>14</v>
      </c>
      <c r="E248" t="s">
        <v>15</v>
      </c>
      <c r="F248" s="7">
        <v>45171</v>
      </c>
      <c r="G248">
        <v>190</v>
      </c>
      <c r="H248">
        <v>189.89</v>
      </c>
      <c r="I248">
        <v>275.77999999999997</v>
      </c>
      <c r="J248">
        <v>36079.1</v>
      </c>
      <c r="K248">
        <f t="shared" si="3"/>
        <v>-16319.099999999997</v>
      </c>
    </row>
    <row r="249" spans="1:11" x14ac:dyDescent="0.45">
      <c r="A249" t="s">
        <v>48</v>
      </c>
      <c r="B249" t="s">
        <v>50</v>
      </c>
      <c r="C249" t="s">
        <v>42</v>
      </c>
      <c r="D249" t="s">
        <v>24</v>
      </c>
      <c r="E249" t="s">
        <v>28</v>
      </c>
      <c r="F249" s="7">
        <v>45172</v>
      </c>
      <c r="G249">
        <v>33</v>
      </c>
      <c r="H249">
        <v>265.62</v>
      </c>
      <c r="I249">
        <v>151.35</v>
      </c>
      <c r="J249">
        <v>8765.4600000000009</v>
      </c>
      <c r="K249">
        <f t="shared" si="3"/>
        <v>3770.9100000000003</v>
      </c>
    </row>
    <row r="250" spans="1:11" x14ac:dyDescent="0.45">
      <c r="A250" t="s">
        <v>22</v>
      </c>
      <c r="B250" t="s">
        <v>26</v>
      </c>
      <c r="C250" t="s">
        <v>42</v>
      </c>
      <c r="D250" t="s">
        <v>14</v>
      </c>
      <c r="E250" t="s">
        <v>15</v>
      </c>
      <c r="F250" s="7">
        <v>45173</v>
      </c>
      <c r="G250">
        <v>325</v>
      </c>
      <c r="H250">
        <v>60.59</v>
      </c>
      <c r="I250">
        <v>216.4</v>
      </c>
      <c r="J250">
        <v>19691.75</v>
      </c>
      <c r="K250">
        <f t="shared" si="3"/>
        <v>-50638.25</v>
      </c>
    </row>
    <row r="251" spans="1:11" x14ac:dyDescent="0.45">
      <c r="A251" t="s">
        <v>22</v>
      </c>
      <c r="B251" t="s">
        <v>26</v>
      </c>
      <c r="C251" t="s">
        <v>27</v>
      </c>
      <c r="D251" t="s">
        <v>24</v>
      </c>
      <c r="E251" t="s">
        <v>15</v>
      </c>
      <c r="F251" s="7">
        <v>45174</v>
      </c>
      <c r="G251">
        <v>387</v>
      </c>
      <c r="H251">
        <v>6.28</v>
      </c>
      <c r="I251">
        <v>210.62</v>
      </c>
      <c r="J251">
        <v>2430.36</v>
      </c>
      <c r="K251">
        <f t="shared" si="3"/>
        <v>-79079.58</v>
      </c>
    </row>
    <row r="252" spans="1:11" x14ac:dyDescent="0.45">
      <c r="A252" t="s">
        <v>22</v>
      </c>
      <c r="B252" t="s">
        <v>26</v>
      </c>
      <c r="C252" t="s">
        <v>19</v>
      </c>
      <c r="D252" t="s">
        <v>14</v>
      </c>
      <c r="E252" t="s">
        <v>28</v>
      </c>
      <c r="F252" s="7">
        <v>45175</v>
      </c>
      <c r="G252">
        <v>396</v>
      </c>
      <c r="H252">
        <v>320.8</v>
      </c>
      <c r="I252">
        <v>339.52</v>
      </c>
      <c r="J252">
        <v>127036.8</v>
      </c>
      <c r="K252">
        <f t="shared" si="3"/>
        <v>-7413.1199999999881</v>
      </c>
    </row>
    <row r="253" spans="1:11" x14ac:dyDescent="0.45">
      <c r="A253" t="s">
        <v>11</v>
      </c>
      <c r="B253" t="s">
        <v>26</v>
      </c>
      <c r="C253" t="s">
        <v>42</v>
      </c>
      <c r="D253" t="s">
        <v>14</v>
      </c>
      <c r="E253" t="s">
        <v>15</v>
      </c>
      <c r="F253" s="7">
        <v>45176</v>
      </c>
      <c r="G253">
        <v>413</v>
      </c>
      <c r="H253">
        <v>260.01</v>
      </c>
      <c r="I253">
        <v>336.31</v>
      </c>
      <c r="J253">
        <v>107384.13</v>
      </c>
      <c r="K253">
        <f t="shared" si="3"/>
        <v>-31511.900000000005</v>
      </c>
    </row>
    <row r="254" spans="1:11" x14ac:dyDescent="0.45">
      <c r="A254" t="s">
        <v>48</v>
      </c>
      <c r="B254" t="s">
        <v>31</v>
      </c>
      <c r="C254" t="s">
        <v>42</v>
      </c>
      <c r="D254" t="s">
        <v>14</v>
      </c>
      <c r="E254" t="s">
        <v>15</v>
      </c>
      <c r="F254" s="7">
        <v>45177</v>
      </c>
      <c r="G254">
        <v>248.5</v>
      </c>
      <c r="H254">
        <v>298.8</v>
      </c>
      <c r="I254">
        <v>333.41</v>
      </c>
      <c r="J254">
        <v>74251.8</v>
      </c>
      <c r="K254">
        <f t="shared" si="3"/>
        <v>-8600.5850000000028</v>
      </c>
    </row>
    <row r="255" spans="1:11" x14ac:dyDescent="0.45">
      <c r="A255" t="s">
        <v>22</v>
      </c>
      <c r="B255" t="s">
        <v>18</v>
      </c>
      <c r="C255" t="s">
        <v>13</v>
      </c>
      <c r="D255" t="s">
        <v>24</v>
      </c>
      <c r="E255" t="s">
        <v>20</v>
      </c>
      <c r="F255" s="7">
        <v>45178</v>
      </c>
      <c r="G255">
        <v>24</v>
      </c>
      <c r="H255">
        <v>397.9</v>
      </c>
      <c r="I255">
        <v>6.39</v>
      </c>
      <c r="J255">
        <v>9549.5999999999985</v>
      </c>
      <c r="K255">
        <f t="shared" si="3"/>
        <v>9396.24</v>
      </c>
    </row>
    <row r="256" spans="1:11" x14ac:dyDescent="0.45">
      <c r="A256" t="s">
        <v>17</v>
      </c>
      <c r="B256" t="s">
        <v>12</v>
      </c>
      <c r="C256" t="s">
        <v>13</v>
      </c>
      <c r="D256" t="s">
        <v>14</v>
      </c>
      <c r="E256" t="s">
        <v>15</v>
      </c>
      <c r="F256" s="7">
        <v>45179</v>
      </c>
      <c r="G256">
        <v>162</v>
      </c>
      <c r="H256">
        <v>325.07</v>
      </c>
      <c r="I256">
        <v>300.32</v>
      </c>
      <c r="J256">
        <v>52661.34</v>
      </c>
      <c r="K256">
        <f t="shared" si="3"/>
        <v>4009.5</v>
      </c>
    </row>
    <row r="257" spans="1:11" x14ac:dyDescent="0.45">
      <c r="A257" t="s">
        <v>22</v>
      </c>
      <c r="B257" t="s">
        <v>26</v>
      </c>
      <c r="C257" t="s">
        <v>42</v>
      </c>
      <c r="D257" t="s">
        <v>24</v>
      </c>
      <c r="E257" t="s">
        <v>28</v>
      </c>
      <c r="F257" s="7">
        <v>45180</v>
      </c>
      <c r="G257">
        <v>231</v>
      </c>
      <c r="H257">
        <v>91.51</v>
      </c>
      <c r="I257">
        <v>303.95</v>
      </c>
      <c r="J257">
        <v>21138.81</v>
      </c>
      <c r="K257">
        <f t="shared" si="3"/>
        <v>-49073.64</v>
      </c>
    </row>
    <row r="258" spans="1:11" x14ac:dyDescent="0.45">
      <c r="A258" t="s">
        <v>22</v>
      </c>
      <c r="B258" t="s">
        <v>50</v>
      </c>
      <c r="C258" t="s">
        <v>19</v>
      </c>
      <c r="D258" t="s">
        <v>24</v>
      </c>
      <c r="E258" t="s">
        <v>28</v>
      </c>
      <c r="F258" s="7">
        <v>45181</v>
      </c>
      <c r="G258">
        <v>215</v>
      </c>
      <c r="H258">
        <v>183.58</v>
      </c>
      <c r="I258">
        <v>271.99</v>
      </c>
      <c r="J258">
        <v>39469.699999999997</v>
      </c>
      <c r="K258">
        <f t="shared" si="3"/>
        <v>-19008.149999999998</v>
      </c>
    </row>
    <row r="259" spans="1:11" x14ac:dyDescent="0.45">
      <c r="A259" t="s">
        <v>11</v>
      </c>
      <c r="B259" t="s">
        <v>26</v>
      </c>
      <c r="C259" t="s">
        <v>27</v>
      </c>
      <c r="D259" t="s">
        <v>24</v>
      </c>
      <c r="E259" t="s">
        <v>15</v>
      </c>
      <c r="F259" s="7">
        <v>45182</v>
      </c>
      <c r="G259">
        <v>464</v>
      </c>
      <c r="H259">
        <v>453.42</v>
      </c>
      <c r="I259">
        <v>302.99</v>
      </c>
      <c r="J259">
        <v>210386.88</v>
      </c>
      <c r="K259">
        <f t="shared" si="3"/>
        <v>69799.520000000004</v>
      </c>
    </row>
    <row r="260" spans="1:11" x14ac:dyDescent="0.45">
      <c r="A260" t="s">
        <v>11</v>
      </c>
      <c r="B260" t="s">
        <v>50</v>
      </c>
      <c r="C260" t="s">
        <v>23</v>
      </c>
      <c r="D260" t="s">
        <v>14</v>
      </c>
      <c r="E260" t="s">
        <v>20</v>
      </c>
      <c r="F260" s="7">
        <v>45183</v>
      </c>
      <c r="G260">
        <v>282</v>
      </c>
      <c r="H260">
        <v>255.39500000000001</v>
      </c>
      <c r="I260">
        <v>337.1</v>
      </c>
      <c r="J260">
        <v>72021.39</v>
      </c>
      <c r="K260">
        <f t="shared" si="3"/>
        <v>-23040.810000000005</v>
      </c>
    </row>
    <row r="261" spans="1:11" x14ac:dyDescent="0.45">
      <c r="A261" t="s">
        <v>48</v>
      </c>
      <c r="B261" t="s">
        <v>31</v>
      </c>
      <c r="C261" t="s">
        <v>42</v>
      </c>
      <c r="D261" t="s">
        <v>14</v>
      </c>
      <c r="E261" t="s">
        <v>20</v>
      </c>
      <c r="F261" s="7">
        <v>45184</v>
      </c>
      <c r="G261">
        <v>391</v>
      </c>
      <c r="H261">
        <v>280.54000000000002</v>
      </c>
      <c r="I261">
        <v>189.19</v>
      </c>
      <c r="J261">
        <v>109691.14</v>
      </c>
      <c r="K261">
        <f t="shared" ref="K261:K324" si="4">(H261-I261)*G261</f>
        <v>35717.850000000006</v>
      </c>
    </row>
    <row r="262" spans="1:11" x14ac:dyDescent="0.45">
      <c r="A262" t="s">
        <v>17</v>
      </c>
      <c r="B262" t="s">
        <v>50</v>
      </c>
      <c r="C262" t="s">
        <v>13</v>
      </c>
      <c r="D262" t="s">
        <v>14</v>
      </c>
      <c r="E262" t="s">
        <v>15</v>
      </c>
      <c r="F262" s="7">
        <v>45185</v>
      </c>
      <c r="G262">
        <v>245</v>
      </c>
      <c r="H262">
        <v>131.54</v>
      </c>
      <c r="I262">
        <v>201.82</v>
      </c>
      <c r="J262">
        <v>32227.3</v>
      </c>
      <c r="K262">
        <f t="shared" si="4"/>
        <v>-17218.599999999999</v>
      </c>
    </row>
    <row r="263" spans="1:11" x14ac:dyDescent="0.45">
      <c r="A263" t="s">
        <v>11</v>
      </c>
      <c r="B263" t="s">
        <v>12</v>
      </c>
      <c r="C263" t="s">
        <v>27</v>
      </c>
      <c r="D263" t="s">
        <v>14</v>
      </c>
      <c r="E263" t="s">
        <v>15</v>
      </c>
      <c r="F263" s="7">
        <v>45186</v>
      </c>
      <c r="G263">
        <v>349</v>
      </c>
      <c r="H263">
        <v>154.52000000000001</v>
      </c>
      <c r="I263">
        <v>51.64</v>
      </c>
      <c r="J263">
        <v>53927.48</v>
      </c>
      <c r="K263">
        <f t="shared" si="4"/>
        <v>35905.120000000003</v>
      </c>
    </row>
    <row r="264" spans="1:11" x14ac:dyDescent="0.45">
      <c r="A264" t="s">
        <v>22</v>
      </c>
      <c r="B264" t="s">
        <v>18</v>
      </c>
      <c r="C264" t="s">
        <v>19</v>
      </c>
      <c r="D264" t="s">
        <v>24</v>
      </c>
      <c r="E264" t="s">
        <v>28</v>
      </c>
      <c r="F264" s="7">
        <v>45187</v>
      </c>
      <c r="G264">
        <v>237</v>
      </c>
      <c r="H264">
        <v>255.39500000000001</v>
      </c>
      <c r="I264">
        <v>155.38</v>
      </c>
      <c r="J264">
        <v>60528.615000000013</v>
      </c>
      <c r="K264">
        <f t="shared" si="4"/>
        <v>23703.555000000004</v>
      </c>
    </row>
    <row r="265" spans="1:11" x14ac:dyDescent="0.45">
      <c r="A265" t="s">
        <v>48</v>
      </c>
      <c r="B265" t="s">
        <v>50</v>
      </c>
      <c r="C265" t="s">
        <v>27</v>
      </c>
      <c r="D265" t="s">
        <v>24</v>
      </c>
      <c r="E265" t="s">
        <v>15</v>
      </c>
      <c r="F265" s="7">
        <v>45188</v>
      </c>
      <c r="G265">
        <v>18</v>
      </c>
      <c r="H265">
        <v>426.33</v>
      </c>
      <c r="I265">
        <v>258.06</v>
      </c>
      <c r="J265">
        <v>7673.94</v>
      </c>
      <c r="K265">
        <f t="shared" si="4"/>
        <v>3028.8599999999997</v>
      </c>
    </row>
    <row r="266" spans="1:11" x14ac:dyDescent="0.45">
      <c r="A266" t="s">
        <v>22</v>
      </c>
      <c r="B266" t="s">
        <v>50</v>
      </c>
      <c r="C266" t="s">
        <v>42</v>
      </c>
      <c r="D266" t="s">
        <v>24</v>
      </c>
      <c r="E266" t="s">
        <v>20</v>
      </c>
      <c r="F266" s="7">
        <v>45189</v>
      </c>
      <c r="G266">
        <v>175</v>
      </c>
      <c r="H266">
        <v>337.36</v>
      </c>
      <c r="I266">
        <v>312.60000000000002</v>
      </c>
      <c r="J266">
        <v>59038</v>
      </c>
      <c r="K266">
        <f t="shared" si="4"/>
        <v>4332.9999999999982</v>
      </c>
    </row>
    <row r="267" spans="1:11" x14ac:dyDescent="0.45">
      <c r="A267" t="s">
        <v>22</v>
      </c>
      <c r="B267" t="s">
        <v>18</v>
      </c>
      <c r="C267" t="s">
        <v>13</v>
      </c>
      <c r="D267" t="s">
        <v>14</v>
      </c>
      <c r="E267" t="s">
        <v>15</v>
      </c>
      <c r="F267" s="7">
        <v>45190</v>
      </c>
      <c r="G267">
        <v>441</v>
      </c>
      <c r="H267">
        <v>405.72</v>
      </c>
      <c r="I267">
        <v>88.45</v>
      </c>
      <c r="J267">
        <v>178922.52</v>
      </c>
      <c r="K267">
        <f t="shared" si="4"/>
        <v>139916.07</v>
      </c>
    </row>
    <row r="268" spans="1:11" x14ac:dyDescent="0.45">
      <c r="A268" t="s">
        <v>11</v>
      </c>
      <c r="B268" t="s">
        <v>12</v>
      </c>
      <c r="C268" t="s">
        <v>23</v>
      </c>
      <c r="D268" t="s">
        <v>24</v>
      </c>
      <c r="E268" t="s">
        <v>28</v>
      </c>
      <c r="F268" s="7">
        <v>45191</v>
      </c>
      <c r="G268">
        <v>453</v>
      </c>
      <c r="H268">
        <v>384.49</v>
      </c>
      <c r="I268">
        <v>56.85</v>
      </c>
      <c r="J268">
        <v>174173.97</v>
      </c>
      <c r="K268">
        <f t="shared" si="4"/>
        <v>148420.91999999998</v>
      </c>
    </row>
    <row r="269" spans="1:11" x14ac:dyDescent="0.45">
      <c r="A269" t="s">
        <v>48</v>
      </c>
      <c r="B269" t="s">
        <v>26</v>
      </c>
      <c r="C269" t="s">
        <v>27</v>
      </c>
      <c r="D269" t="s">
        <v>14</v>
      </c>
      <c r="E269" t="s">
        <v>28</v>
      </c>
      <c r="F269" s="7">
        <v>45192</v>
      </c>
      <c r="G269">
        <v>328</v>
      </c>
      <c r="H269">
        <v>79.099999999999994</v>
      </c>
      <c r="I269">
        <v>265.89</v>
      </c>
      <c r="J269">
        <v>25944.799999999999</v>
      </c>
      <c r="K269">
        <f t="shared" si="4"/>
        <v>-61267.119999999995</v>
      </c>
    </row>
    <row r="270" spans="1:11" x14ac:dyDescent="0.45">
      <c r="A270" t="s">
        <v>17</v>
      </c>
      <c r="B270" t="s">
        <v>50</v>
      </c>
      <c r="C270" t="s">
        <v>42</v>
      </c>
      <c r="D270" t="s">
        <v>24</v>
      </c>
      <c r="E270" t="s">
        <v>28</v>
      </c>
      <c r="F270" s="7">
        <v>45193</v>
      </c>
      <c r="G270">
        <v>223</v>
      </c>
      <c r="H270">
        <v>214.85</v>
      </c>
      <c r="I270">
        <v>2.75</v>
      </c>
      <c r="J270">
        <v>47911.55</v>
      </c>
      <c r="K270">
        <f t="shared" si="4"/>
        <v>47298.299999999996</v>
      </c>
    </row>
    <row r="271" spans="1:11" x14ac:dyDescent="0.45">
      <c r="A271" t="s">
        <v>17</v>
      </c>
      <c r="B271" t="s">
        <v>18</v>
      </c>
      <c r="C271" t="s">
        <v>13</v>
      </c>
      <c r="D271" t="s">
        <v>14</v>
      </c>
      <c r="E271" t="s">
        <v>28</v>
      </c>
      <c r="F271" s="7">
        <v>45194</v>
      </c>
      <c r="G271">
        <v>126</v>
      </c>
      <c r="H271">
        <v>80.73</v>
      </c>
      <c r="I271">
        <v>72.989999999999995</v>
      </c>
      <c r="J271">
        <v>10171.98</v>
      </c>
      <c r="K271">
        <f t="shared" si="4"/>
        <v>975.24000000000115</v>
      </c>
    </row>
    <row r="272" spans="1:11" x14ac:dyDescent="0.45">
      <c r="A272" t="s">
        <v>11</v>
      </c>
      <c r="B272" t="s">
        <v>31</v>
      </c>
      <c r="C272" t="s">
        <v>19</v>
      </c>
      <c r="D272" t="s">
        <v>14</v>
      </c>
      <c r="E272" t="s">
        <v>28</v>
      </c>
      <c r="F272" s="7">
        <v>45195</v>
      </c>
      <c r="G272">
        <v>395</v>
      </c>
      <c r="H272">
        <v>121.44</v>
      </c>
      <c r="I272">
        <v>13.57</v>
      </c>
      <c r="J272">
        <v>47968.800000000003</v>
      </c>
      <c r="K272">
        <f t="shared" si="4"/>
        <v>42608.65</v>
      </c>
    </row>
    <row r="273" spans="1:11" x14ac:dyDescent="0.45">
      <c r="A273" t="s">
        <v>11</v>
      </c>
      <c r="B273" t="s">
        <v>18</v>
      </c>
      <c r="C273" t="s">
        <v>27</v>
      </c>
      <c r="D273" t="s">
        <v>24</v>
      </c>
      <c r="E273" t="s">
        <v>15</v>
      </c>
      <c r="F273" s="7">
        <v>45196</v>
      </c>
      <c r="G273">
        <v>353</v>
      </c>
      <c r="H273">
        <v>435.28</v>
      </c>
      <c r="I273">
        <v>68.42</v>
      </c>
      <c r="J273">
        <v>153653.84</v>
      </c>
      <c r="K273">
        <f t="shared" si="4"/>
        <v>129501.57999999999</v>
      </c>
    </row>
    <row r="274" spans="1:11" x14ac:dyDescent="0.45">
      <c r="A274" t="s">
        <v>48</v>
      </c>
      <c r="B274" t="s">
        <v>31</v>
      </c>
      <c r="C274" t="s">
        <v>27</v>
      </c>
      <c r="D274" t="s">
        <v>24</v>
      </c>
      <c r="E274" t="s">
        <v>15</v>
      </c>
      <c r="F274" s="7">
        <v>45197</v>
      </c>
      <c r="G274">
        <v>81</v>
      </c>
      <c r="H274">
        <v>239.08</v>
      </c>
      <c r="I274">
        <v>74.17</v>
      </c>
      <c r="J274">
        <v>19365.48</v>
      </c>
      <c r="K274">
        <f t="shared" si="4"/>
        <v>13357.710000000003</v>
      </c>
    </row>
    <row r="275" spans="1:11" x14ac:dyDescent="0.45">
      <c r="A275" t="s">
        <v>17</v>
      </c>
      <c r="B275" t="s">
        <v>12</v>
      </c>
      <c r="C275" t="s">
        <v>23</v>
      </c>
      <c r="D275" t="s">
        <v>24</v>
      </c>
      <c r="E275" t="s">
        <v>15</v>
      </c>
      <c r="F275" s="7">
        <v>45198</v>
      </c>
      <c r="G275">
        <v>404</v>
      </c>
      <c r="H275">
        <v>270</v>
      </c>
      <c r="I275">
        <v>156.29</v>
      </c>
      <c r="J275">
        <v>109080</v>
      </c>
      <c r="K275">
        <f t="shared" si="4"/>
        <v>45938.840000000004</v>
      </c>
    </row>
    <row r="276" spans="1:11" x14ac:dyDescent="0.45">
      <c r="A276" t="s">
        <v>17</v>
      </c>
      <c r="B276" t="s">
        <v>26</v>
      </c>
      <c r="C276" t="s">
        <v>23</v>
      </c>
      <c r="D276" t="s">
        <v>24</v>
      </c>
      <c r="E276" t="s">
        <v>15</v>
      </c>
      <c r="F276" s="7">
        <v>45199</v>
      </c>
      <c r="G276">
        <v>73</v>
      </c>
      <c r="H276">
        <v>93.33</v>
      </c>
      <c r="I276">
        <v>162.13</v>
      </c>
      <c r="J276">
        <v>6813.09</v>
      </c>
      <c r="K276">
        <f t="shared" si="4"/>
        <v>-5022.3999999999996</v>
      </c>
    </row>
    <row r="277" spans="1:11" x14ac:dyDescent="0.45">
      <c r="A277" t="s">
        <v>17</v>
      </c>
      <c r="B277" t="s">
        <v>18</v>
      </c>
      <c r="C277" t="s">
        <v>13</v>
      </c>
      <c r="D277" t="s">
        <v>14</v>
      </c>
      <c r="E277" t="s">
        <v>28</v>
      </c>
      <c r="F277" s="7">
        <v>45200</v>
      </c>
      <c r="G277">
        <v>214</v>
      </c>
      <c r="H277">
        <v>159.57</v>
      </c>
      <c r="I277">
        <v>349.96</v>
      </c>
      <c r="J277">
        <v>34147.980000000003</v>
      </c>
      <c r="K277">
        <f t="shared" si="4"/>
        <v>-40743.46</v>
      </c>
    </row>
    <row r="278" spans="1:11" x14ac:dyDescent="0.45">
      <c r="A278" t="s">
        <v>22</v>
      </c>
      <c r="B278" t="s">
        <v>50</v>
      </c>
      <c r="C278" t="s">
        <v>13</v>
      </c>
      <c r="D278" t="s">
        <v>24</v>
      </c>
      <c r="E278" t="s">
        <v>20</v>
      </c>
      <c r="F278" s="7">
        <v>45201</v>
      </c>
      <c r="G278">
        <v>218</v>
      </c>
      <c r="H278">
        <v>118.97</v>
      </c>
      <c r="I278">
        <v>205.02</v>
      </c>
      <c r="J278">
        <v>25935.46</v>
      </c>
      <c r="K278">
        <f t="shared" si="4"/>
        <v>-18758.900000000001</v>
      </c>
    </row>
    <row r="279" spans="1:11" x14ac:dyDescent="0.45">
      <c r="A279" t="s">
        <v>17</v>
      </c>
      <c r="B279" t="s">
        <v>12</v>
      </c>
      <c r="C279" t="s">
        <v>42</v>
      </c>
      <c r="D279" t="s">
        <v>24</v>
      </c>
      <c r="E279" t="s">
        <v>15</v>
      </c>
      <c r="F279" s="7">
        <v>45202</v>
      </c>
      <c r="G279">
        <v>81</v>
      </c>
      <c r="H279">
        <v>107.06</v>
      </c>
      <c r="I279">
        <v>289.92</v>
      </c>
      <c r="J279">
        <v>8671.86</v>
      </c>
      <c r="K279">
        <f t="shared" si="4"/>
        <v>-14811.660000000002</v>
      </c>
    </row>
    <row r="280" spans="1:11" x14ac:dyDescent="0.45">
      <c r="A280" t="s">
        <v>22</v>
      </c>
      <c r="B280" t="s">
        <v>18</v>
      </c>
      <c r="C280" t="s">
        <v>42</v>
      </c>
      <c r="D280" t="s">
        <v>24</v>
      </c>
      <c r="E280" t="s">
        <v>20</v>
      </c>
      <c r="F280" s="7">
        <v>45203</v>
      </c>
      <c r="G280">
        <v>286</v>
      </c>
      <c r="H280">
        <v>320.79000000000002</v>
      </c>
      <c r="I280">
        <v>43.45</v>
      </c>
      <c r="J280">
        <v>91745.94</v>
      </c>
      <c r="K280">
        <f t="shared" si="4"/>
        <v>79319.240000000005</v>
      </c>
    </row>
    <row r="281" spans="1:11" x14ac:dyDescent="0.45">
      <c r="A281" t="s">
        <v>48</v>
      </c>
      <c r="B281" t="s">
        <v>50</v>
      </c>
      <c r="C281" t="s">
        <v>13</v>
      </c>
      <c r="D281" t="s">
        <v>14</v>
      </c>
      <c r="E281" t="s">
        <v>15</v>
      </c>
      <c r="F281" s="7">
        <v>45204</v>
      </c>
      <c r="G281">
        <v>283</v>
      </c>
      <c r="H281">
        <v>132.16</v>
      </c>
      <c r="I281">
        <v>91.72</v>
      </c>
      <c r="J281">
        <v>37401.279999999999</v>
      </c>
      <c r="K281">
        <f t="shared" si="4"/>
        <v>11444.519999999999</v>
      </c>
    </row>
    <row r="282" spans="1:11" x14ac:dyDescent="0.45">
      <c r="A282" t="s">
        <v>22</v>
      </c>
      <c r="B282" t="s">
        <v>18</v>
      </c>
      <c r="C282" t="s">
        <v>13</v>
      </c>
      <c r="D282" t="s">
        <v>14</v>
      </c>
      <c r="E282" t="s">
        <v>15</v>
      </c>
      <c r="F282" s="7">
        <v>45205</v>
      </c>
      <c r="G282">
        <v>487</v>
      </c>
      <c r="H282">
        <v>317.85000000000002</v>
      </c>
      <c r="I282">
        <v>281.77</v>
      </c>
      <c r="J282">
        <v>154792.95000000001</v>
      </c>
      <c r="K282">
        <f t="shared" si="4"/>
        <v>17570.960000000021</v>
      </c>
    </row>
    <row r="283" spans="1:11" x14ac:dyDescent="0.45">
      <c r="A283" t="s">
        <v>48</v>
      </c>
      <c r="B283" t="s">
        <v>31</v>
      </c>
      <c r="C283" t="s">
        <v>19</v>
      </c>
      <c r="D283" t="s">
        <v>24</v>
      </c>
      <c r="E283" t="s">
        <v>20</v>
      </c>
      <c r="F283" s="7">
        <v>45206</v>
      </c>
      <c r="G283">
        <v>329</v>
      </c>
      <c r="H283">
        <v>33.94</v>
      </c>
      <c r="I283">
        <v>23.02</v>
      </c>
      <c r="J283">
        <v>11166.26</v>
      </c>
      <c r="K283">
        <f t="shared" si="4"/>
        <v>3592.6799999999994</v>
      </c>
    </row>
    <row r="284" spans="1:11" x14ac:dyDescent="0.45">
      <c r="A284" t="s">
        <v>17</v>
      </c>
      <c r="B284" t="s">
        <v>18</v>
      </c>
      <c r="C284" t="s">
        <v>23</v>
      </c>
      <c r="D284" t="s">
        <v>14</v>
      </c>
      <c r="E284" t="s">
        <v>28</v>
      </c>
      <c r="F284" s="7">
        <v>45207</v>
      </c>
      <c r="G284">
        <v>347</v>
      </c>
      <c r="H284">
        <v>75.180000000000007</v>
      </c>
      <c r="I284">
        <v>195.67</v>
      </c>
      <c r="J284">
        <v>26087.46</v>
      </c>
      <c r="K284">
        <f t="shared" si="4"/>
        <v>-41810.029999999992</v>
      </c>
    </row>
    <row r="285" spans="1:11" x14ac:dyDescent="0.45">
      <c r="A285" t="s">
        <v>17</v>
      </c>
      <c r="B285" t="s">
        <v>18</v>
      </c>
      <c r="C285" t="s">
        <v>42</v>
      </c>
      <c r="D285" t="s">
        <v>24</v>
      </c>
      <c r="E285" t="s">
        <v>15</v>
      </c>
      <c r="F285" s="7">
        <v>45208</v>
      </c>
      <c r="G285">
        <v>375</v>
      </c>
      <c r="H285">
        <v>140.9</v>
      </c>
      <c r="I285">
        <v>240.55</v>
      </c>
      <c r="J285">
        <v>52837.5</v>
      </c>
      <c r="K285">
        <f t="shared" si="4"/>
        <v>-37368.75</v>
      </c>
    </row>
    <row r="286" spans="1:11" x14ac:dyDescent="0.45">
      <c r="A286" t="s">
        <v>48</v>
      </c>
      <c r="B286" t="s">
        <v>18</v>
      </c>
      <c r="C286" t="s">
        <v>23</v>
      </c>
      <c r="D286" t="s">
        <v>14</v>
      </c>
      <c r="E286" t="s">
        <v>15</v>
      </c>
      <c r="F286" s="7">
        <v>45209</v>
      </c>
      <c r="G286">
        <v>104</v>
      </c>
      <c r="H286">
        <v>300.54000000000002</v>
      </c>
      <c r="I286">
        <v>241.65</v>
      </c>
      <c r="J286">
        <v>31256.16</v>
      </c>
      <c r="K286">
        <f t="shared" si="4"/>
        <v>6124.5600000000013</v>
      </c>
    </row>
    <row r="287" spans="1:11" x14ac:dyDescent="0.45">
      <c r="A287" t="s">
        <v>11</v>
      </c>
      <c r="B287" t="s">
        <v>12</v>
      </c>
      <c r="C287" t="s">
        <v>13</v>
      </c>
      <c r="D287" t="s">
        <v>14</v>
      </c>
      <c r="E287" t="s">
        <v>15</v>
      </c>
      <c r="F287" s="7">
        <v>45210</v>
      </c>
      <c r="G287">
        <v>175</v>
      </c>
      <c r="H287">
        <v>339.54</v>
      </c>
      <c r="I287">
        <v>11.13</v>
      </c>
      <c r="J287">
        <v>59419.5</v>
      </c>
      <c r="K287">
        <f t="shared" si="4"/>
        <v>57471.750000000007</v>
      </c>
    </row>
    <row r="288" spans="1:11" x14ac:dyDescent="0.45">
      <c r="A288" t="s">
        <v>48</v>
      </c>
      <c r="B288" t="s">
        <v>18</v>
      </c>
      <c r="C288" t="s">
        <v>13</v>
      </c>
      <c r="D288" t="s">
        <v>14</v>
      </c>
      <c r="E288" t="s">
        <v>20</v>
      </c>
      <c r="F288" s="7">
        <v>45211</v>
      </c>
      <c r="G288">
        <v>41</v>
      </c>
      <c r="H288">
        <v>224.14</v>
      </c>
      <c r="I288">
        <v>130.19999999999999</v>
      </c>
      <c r="J288">
        <v>9189.74</v>
      </c>
      <c r="K288">
        <f t="shared" si="4"/>
        <v>3851.54</v>
      </c>
    </row>
    <row r="289" spans="1:11" x14ac:dyDescent="0.45">
      <c r="A289" t="s">
        <v>11</v>
      </c>
      <c r="B289" t="s">
        <v>50</v>
      </c>
      <c r="C289" t="s">
        <v>19</v>
      </c>
      <c r="D289" t="s">
        <v>14</v>
      </c>
      <c r="E289" t="s">
        <v>28</v>
      </c>
      <c r="F289" s="7">
        <v>45212</v>
      </c>
      <c r="G289">
        <v>20</v>
      </c>
      <c r="H289">
        <v>225.67</v>
      </c>
      <c r="I289">
        <v>255.32</v>
      </c>
      <c r="J289">
        <v>4513.3999999999996</v>
      </c>
      <c r="K289">
        <f t="shared" si="4"/>
        <v>-593.00000000000011</v>
      </c>
    </row>
    <row r="290" spans="1:11" x14ac:dyDescent="0.45">
      <c r="A290" t="s">
        <v>22</v>
      </c>
      <c r="B290" t="s">
        <v>31</v>
      </c>
      <c r="C290" t="s">
        <v>27</v>
      </c>
      <c r="D290" t="s">
        <v>24</v>
      </c>
      <c r="E290" t="s">
        <v>20</v>
      </c>
      <c r="F290" s="7">
        <v>45213</v>
      </c>
      <c r="G290">
        <v>310</v>
      </c>
      <c r="H290">
        <v>363.64</v>
      </c>
      <c r="I290">
        <v>61.3</v>
      </c>
      <c r="J290">
        <v>112728.4</v>
      </c>
      <c r="K290">
        <f t="shared" si="4"/>
        <v>93725.4</v>
      </c>
    </row>
    <row r="291" spans="1:11" x14ac:dyDescent="0.45">
      <c r="A291" t="s">
        <v>22</v>
      </c>
      <c r="B291" t="s">
        <v>31</v>
      </c>
      <c r="C291" t="s">
        <v>19</v>
      </c>
      <c r="D291" t="s">
        <v>24</v>
      </c>
      <c r="E291" t="s">
        <v>20</v>
      </c>
      <c r="F291" s="7">
        <v>45214</v>
      </c>
      <c r="G291">
        <v>226</v>
      </c>
      <c r="H291">
        <v>255.39500000000001</v>
      </c>
      <c r="I291">
        <v>278.77999999999997</v>
      </c>
      <c r="J291">
        <v>57719.27</v>
      </c>
      <c r="K291">
        <f t="shared" si="4"/>
        <v>-5285.0099999999911</v>
      </c>
    </row>
    <row r="292" spans="1:11" x14ac:dyDescent="0.45">
      <c r="A292" t="s">
        <v>22</v>
      </c>
      <c r="B292" t="s">
        <v>18</v>
      </c>
      <c r="C292" t="s">
        <v>19</v>
      </c>
      <c r="D292" t="s">
        <v>24</v>
      </c>
      <c r="E292" t="s">
        <v>28</v>
      </c>
      <c r="F292" s="7">
        <v>45215</v>
      </c>
      <c r="G292">
        <v>248.5</v>
      </c>
      <c r="H292">
        <v>173.84</v>
      </c>
      <c r="I292">
        <v>298.88</v>
      </c>
      <c r="J292">
        <v>43199.24</v>
      </c>
      <c r="K292">
        <f t="shared" si="4"/>
        <v>-31072.44</v>
      </c>
    </row>
    <row r="293" spans="1:11" x14ac:dyDescent="0.45">
      <c r="A293" t="s">
        <v>17</v>
      </c>
      <c r="B293" t="s">
        <v>12</v>
      </c>
      <c r="C293" t="s">
        <v>23</v>
      </c>
      <c r="D293" t="s">
        <v>14</v>
      </c>
      <c r="E293" t="s">
        <v>20</v>
      </c>
      <c r="F293" s="7">
        <v>45216</v>
      </c>
      <c r="G293">
        <v>111</v>
      </c>
      <c r="H293">
        <v>410.26</v>
      </c>
      <c r="I293">
        <v>392.82</v>
      </c>
      <c r="J293">
        <v>45538.86</v>
      </c>
      <c r="K293">
        <f t="shared" si="4"/>
        <v>1935.8399999999997</v>
      </c>
    </row>
    <row r="294" spans="1:11" x14ac:dyDescent="0.45">
      <c r="A294" t="s">
        <v>22</v>
      </c>
      <c r="B294" t="s">
        <v>12</v>
      </c>
      <c r="C294" t="s">
        <v>19</v>
      </c>
      <c r="D294" t="s">
        <v>24</v>
      </c>
      <c r="E294" t="s">
        <v>28</v>
      </c>
      <c r="F294" s="7">
        <v>45217</v>
      </c>
      <c r="G294">
        <v>434</v>
      </c>
      <c r="H294">
        <v>303.58999999999997</v>
      </c>
      <c r="I294">
        <v>85.52</v>
      </c>
      <c r="J294">
        <v>131758.06</v>
      </c>
      <c r="K294">
        <f t="shared" si="4"/>
        <v>94642.37999999999</v>
      </c>
    </row>
    <row r="295" spans="1:11" x14ac:dyDescent="0.45">
      <c r="A295" t="s">
        <v>11</v>
      </c>
      <c r="B295" t="s">
        <v>50</v>
      </c>
      <c r="C295" t="s">
        <v>42</v>
      </c>
      <c r="D295" t="s">
        <v>24</v>
      </c>
      <c r="E295" t="s">
        <v>15</v>
      </c>
      <c r="F295" s="7">
        <v>45218</v>
      </c>
      <c r="G295">
        <v>401</v>
      </c>
      <c r="H295">
        <v>171.93</v>
      </c>
      <c r="I295">
        <v>330.4</v>
      </c>
      <c r="J295">
        <v>68943.930000000008</v>
      </c>
      <c r="K295">
        <f t="shared" si="4"/>
        <v>-63546.469999999987</v>
      </c>
    </row>
    <row r="296" spans="1:11" x14ac:dyDescent="0.45">
      <c r="A296" t="s">
        <v>22</v>
      </c>
      <c r="B296" t="s">
        <v>18</v>
      </c>
      <c r="C296" t="s">
        <v>23</v>
      </c>
      <c r="D296" t="s">
        <v>24</v>
      </c>
      <c r="E296" t="s">
        <v>28</v>
      </c>
      <c r="F296" s="7">
        <v>45219</v>
      </c>
      <c r="G296">
        <v>276</v>
      </c>
      <c r="H296">
        <v>453.23</v>
      </c>
      <c r="I296">
        <v>209.08</v>
      </c>
      <c r="J296">
        <v>125091.48</v>
      </c>
      <c r="K296">
        <f t="shared" si="4"/>
        <v>67385.400000000009</v>
      </c>
    </row>
    <row r="297" spans="1:11" x14ac:dyDescent="0.45">
      <c r="A297" t="s">
        <v>48</v>
      </c>
      <c r="B297" t="s">
        <v>31</v>
      </c>
      <c r="C297" t="s">
        <v>42</v>
      </c>
      <c r="D297" t="s">
        <v>14</v>
      </c>
      <c r="E297" t="s">
        <v>15</v>
      </c>
      <c r="F297" s="7">
        <v>45220</v>
      </c>
      <c r="G297">
        <v>248.5</v>
      </c>
      <c r="H297">
        <v>387.45</v>
      </c>
      <c r="I297">
        <v>150.63999999999999</v>
      </c>
      <c r="J297">
        <v>96281.324999999997</v>
      </c>
      <c r="K297">
        <f t="shared" si="4"/>
        <v>58847.285000000003</v>
      </c>
    </row>
    <row r="298" spans="1:11" x14ac:dyDescent="0.45">
      <c r="A298" t="s">
        <v>48</v>
      </c>
      <c r="B298" t="s">
        <v>12</v>
      </c>
      <c r="C298" t="s">
        <v>27</v>
      </c>
      <c r="D298" t="s">
        <v>14</v>
      </c>
      <c r="E298" t="s">
        <v>20</v>
      </c>
      <c r="F298" s="7">
        <v>45221</v>
      </c>
      <c r="G298">
        <v>188</v>
      </c>
      <c r="H298">
        <v>136.12</v>
      </c>
      <c r="I298">
        <v>50.71</v>
      </c>
      <c r="J298">
        <v>25590.560000000001</v>
      </c>
      <c r="K298">
        <f t="shared" si="4"/>
        <v>16057.08</v>
      </c>
    </row>
    <row r="299" spans="1:11" x14ac:dyDescent="0.45">
      <c r="A299" t="s">
        <v>17</v>
      </c>
      <c r="B299" t="s">
        <v>18</v>
      </c>
      <c r="C299" t="s">
        <v>23</v>
      </c>
      <c r="D299" t="s">
        <v>14</v>
      </c>
      <c r="E299" t="s">
        <v>20</v>
      </c>
      <c r="F299" s="7">
        <v>45222</v>
      </c>
      <c r="G299">
        <v>97</v>
      </c>
      <c r="H299">
        <v>324.42</v>
      </c>
      <c r="I299">
        <v>294.73</v>
      </c>
      <c r="J299">
        <v>31468.74</v>
      </c>
      <c r="K299">
        <f t="shared" si="4"/>
        <v>2879.93</v>
      </c>
    </row>
    <row r="300" spans="1:11" x14ac:dyDescent="0.45">
      <c r="A300" t="s">
        <v>48</v>
      </c>
      <c r="B300" t="s">
        <v>12</v>
      </c>
      <c r="C300" t="s">
        <v>27</v>
      </c>
      <c r="D300" t="s">
        <v>24</v>
      </c>
      <c r="E300" t="s">
        <v>15</v>
      </c>
      <c r="F300" s="7">
        <v>45223</v>
      </c>
      <c r="G300">
        <v>50</v>
      </c>
      <c r="H300">
        <v>299.89999999999998</v>
      </c>
      <c r="I300">
        <v>95.87</v>
      </c>
      <c r="J300">
        <v>14995</v>
      </c>
      <c r="K300">
        <f t="shared" si="4"/>
        <v>10201.499999999998</v>
      </c>
    </row>
    <row r="301" spans="1:11" x14ac:dyDescent="0.45">
      <c r="A301" t="s">
        <v>11</v>
      </c>
      <c r="B301" t="s">
        <v>12</v>
      </c>
      <c r="C301" t="s">
        <v>23</v>
      </c>
      <c r="D301" t="s">
        <v>24</v>
      </c>
      <c r="E301" t="s">
        <v>20</v>
      </c>
      <c r="F301" s="7">
        <v>45224</v>
      </c>
      <c r="G301">
        <v>410</v>
      </c>
      <c r="H301">
        <v>203.59</v>
      </c>
      <c r="I301">
        <v>149.83000000000001</v>
      </c>
      <c r="J301">
        <v>83471.899999999994</v>
      </c>
      <c r="K301">
        <f t="shared" si="4"/>
        <v>22041.599999999995</v>
      </c>
    </row>
    <row r="302" spans="1:11" x14ac:dyDescent="0.45">
      <c r="A302" t="s">
        <v>22</v>
      </c>
      <c r="B302" t="s">
        <v>31</v>
      </c>
      <c r="C302" t="s">
        <v>13</v>
      </c>
      <c r="D302" t="s">
        <v>24</v>
      </c>
      <c r="E302" t="s">
        <v>28</v>
      </c>
      <c r="F302" s="7">
        <v>45225</v>
      </c>
      <c r="G302">
        <v>85</v>
      </c>
      <c r="H302">
        <v>186.64</v>
      </c>
      <c r="I302">
        <v>26.89</v>
      </c>
      <c r="J302">
        <v>15864.4</v>
      </c>
      <c r="K302">
        <f t="shared" si="4"/>
        <v>13578.75</v>
      </c>
    </row>
    <row r="303" spans="1:11" x14ac:dyDescent="0.45">
      <c r="A303" t="s">
        <v>17</v>
      </c>
      <c r="B303" t="s">
        <v>26</v>
      </c>
      <c r="C303" t="s">
        <v>19</v>
      </c>
      <c r="D303" t="s">
        <v>14</v>
      </c>
      <c r="E303" t="s">
        <v>15</v>
      </c>
      <c r="F303" s="7">
        <v>45226</v>
      </c>
      <c r="G303">
        <v>386</v>
      </c>
      <c r="H303">
        <v>175.06</v>
      </c>
      <c r="I303">
        <v>320.94</v>
      </c>
      <c r="J303">
        <v>67573.16</v>
      </c>
      <c r="K303">
        <f t="shared" si="4"/>
        <v>-56309.68</v>
      </c>
    </row>
    <row r="304" spans="1:11" x14ac:dyDescent="0.45">
      <c r="A304" t="s">
        <v>22</v>
      </c>
      <c r="B304" t="s">
        <v>50</v>
      </c>
      <c r="C304" t="s">
        <v>13</v>
      </c>
      <c r="D304" t="s">
        <v>14</v>
      </c>
      <c r="E304" t="s">
        <v>20</v>
      </c>
      <c r="F304" s="7">
        <v>45227</v>
      </c>
      <c r="G304">
        <v>55</v>
      </c>
      <c r="H304">
        <v>310.49</v>
      </c>
      <c r="I304">
        <v>307.10000000000002</v>
      </c>
      <c r="J304">
        <v>17076.95</v>
      </c>
      <c r="K304">
        <f t="shared" si="4"/>
        <v>186.44999999999925</v>
      </c>
    </row>
    <row r="305" spans="1:11" x14ac:dyDescent="0.45">
      <c r="A305" t="s">
        <v>22</v>
      </c>
      <c r="B305" t="s">
        <v>50</v>
      </c>
      <c r="C305" t="s">
        <v>27</v>
      </c>
      <c r="D305" t="s">
        <v>24</v>
      </c>
      <c r="E305" t="s">
        <v>15</v>
      </c>
      <c r="F305" s="7">
        <v>45228</v>
      </c>
      <c r="G305">
        <v>169</v>
      </c>
      <c r="H305">
        <v>223.99</v>
      </c>
      <c r="I305">
        <v>293.98</v>
      </c>
      <c r="J305">
        <v>37854.31</v>
      </c>
      <c r="K305">
        <f t="shared" si="4"/>
        <v>-11828.310000000001</v>
      </c>
    </row>
    <row r="306" spans="1:11" x14ac:dyDescent="0.45">
      <c r="A306" t="s">
        <v>11</v>
      </c>
      <c r="B306" t="s">
        <v>31</v>
      </c>
      <c r="C306" t="s">
        <v>19</v>
      </c>
      <c r="D306" t="s">
        <v>14</v>
      </c>
      <c r="E306" t="s">
        <v>28</v>
      </c>
      <c r="F306" s="7">
        <v>45229</v>
      </c>
      <c r="G306">
        <v>472</v>
      </c>
      <c r="H306">
        <v>416.77</v>
      </c>
      <c r="I306">
        <v>121.18</v>
      </c>
      <c r="J306">
        <v>196715.44</v>
      </c>
      <c r="K306">
        <f t="shared" si="4"/>
        <v>139518.47999999998</v>
      </c>
    </row>
    <row r="307" spans="1:11" x14ac:dyDescent="0.45">
      <c r="A307" t="s">
        <v>48</v>
      </c>
      <c r="B307" t="s">
        <v>12</v>
      </c>
      <c r="C307" t="s">
        <v>23</v>
      </c>
      <c r="D307" t="s">
        <v>14</v>
      </c>
      <c r="E307" t="s">
        <v>28</v>
      </c>
      <c r="F307" s="7">
        <v>45230</v>
      </c>
      <c r="G307">
        <v>89</v>
      </c>
      <c r="H307">
        <v>336.45</v>
      </c>
      <c r="I307">
        <v>71.05</v>
      </c>
      <c r="J307">
        <v>29944.05</v>
      </c>
      <c r="K307">
        <f t="shared" si="4"/>
        <v>23620.6</v>
      </c>
    </row>
    <row r="308" spans="1:11" x14ac:dyDescent="0.45">
      <c r="A308" t="s">
        <v>48</v>
      </c>
      <c r="B308" t="s">
        <v>18</v>
      </c>
      <c r="C308" t="s">
        <v>19</v>
      </c>
      <c r="D308" t="s">
        <v>14</v>
      </c>
      <c r="E308" t="s">
        <v>20</v>
      </c>
      <c r="F308" s="7">
        <v>45231</v>
      </c>
      <c r="G308">
        <v>319</v>
      </c>
      <c r="H308">
        <v>39.619999999999997</v>
      </c>
      <c r="I308">
        <v>255.75</v>
      </c>
      <c r="J308">
        <v>12638.78</v>
      </c>
      <c r="K308">
        <f t="shared" si="4"/>
        <v>-68945.47</v>
      </c>
    </row>
    <row r="309" spans="1:11" x14ac:dyDescent="0.45">
      <c r="A309" t="s">
        <v>22</v>
      </c>
      <c r="B309" t="s">
        <v>12</v>
      </c>
      <c r="C309" t="s">
        <v>13</v>
      </c>
      <c r="D309" t="s">
        <v>14</v>
      </c>
      <c r="E309" t="s">
        <v>28</v>
      </c>
      <c r="F309" s="7">
        <v>45232</v>
      </c>
      <c r="G309">
        <v>95</v>
      </c>
      <c r="H309">
        <v>321.88</v>
      </c>
      <c r="I309">
        <v>199.47</v>
      </c>
      <c r="J309">
        <v>30578.6</v>
      </c>
      <c r="K309">
        <f t="shared" si="4"/>
        <v>11628.949999999999</v>
      </c>
    </row>
    <row r="310" spans="1:11" x14ac:dyDescent="0.45">
      <c r="A310" t="s">
        <v>17</v>
      </c>
      <c r="B310" t="s">
        <v>31</v>
      </c>
      <c r="C310" t="s">
        <v>13</v>
      </c>
      <c r="D310" t="s">
        <v>24</v>
      </c>
      <c r="E310" t="s">
        <v>15</v>
      </c>
      <c r="F310" s="7">
        <v>45233</v>
      </c>
      <c r="G310">
        <v>101</v>
      </c>
      <c r="H310">
        <v>139.22</v>
      </c>
      <c r="I310">
        <v>72.94</v>
      </c>
      <c r="J310">
        <v>14061.22</v>
      </c>
      <c r="K310">
        <f t="shared" si="4"/>
        <v>6694.28</v>
      </c>
    </row>
    <row r="311" spans="1:11" x14ac:dyDescent="0.45">
      <c r="A311" t="s">
        <v>48</v>
      </c>
      <c r="B311" t="s">
        <v>50</v>
      </c>
      <c r="C311" t="s">
        <v>13</v>
      </c>
      <c r="D311" t="s">
        <v>14</v>
      </c>
      <c r="E311" t="s">
        <v>28</v>
      </c>
      <c r="F311" s="7">
        <v>45234</v>
      </c>
      <c r="G311">
        <v>157</v>
      </c>
      <c r="H311">
        <v>255.39500000000001</v>
      </c>
      <c r="I311">
        <v>274.99</v>
      </c>
      <c r="J311">
        <v>40097.014999999999</v>
      </c>
      <c r="K311">
        <f t="shared" si="4"/>
        <v>-3076.415</v>
      </c>
    </row>
    <row r="312" spans="1:11" x14ac:dyDescent="0.45">
      <c r="A312" t="s">
        <v>17</v>
      </c>
      <c r="B312" t="s">
        <v>12</v>
      </c>
      <c r="C312" t="s">
        <v>19</v>
      </c>
      <c r="D312" t="s">
        <v>14</v>
      </c>
      <c r="E312" t="s">
        <v>15</v>
      </c>
      <c r="F312" s="7">
        <v>45235</v>
      </c>
      <c r="G312">
        <v>170</v>
      </c>
      <c r="H312">
        <v>341.67</v>
      </c>
      <c r="I312">
        <v>396.47</v>
      </c>
      <c r="J312">
        <v>58083.9</v>
      </c>
      <c r="K312">
        <f t="shared" si="4"/>
        <v>-9316.0000000000018</v>
      </c>
    </row>
    <row r="313" spans="1:11" x14ac:dyDescent="0.45">
      <c r="A313" t="s">
        <v>48</v>
      </c>
      <c r="B313" t="s">
        <v>50</v>
      </c>
      <c r="C313" t="s">
        <v>42</v>
      </c>
      <c r="D313" t="s">
        <v>14</v>
      </c>
      <c r="E313" t="s">
        <v>15</v>
      </c>
      <c r="F313" s="7">
        <v>45236</v>
      </c>
      <c r="G313">
        <v>211</v>
      </c>
      <c r="H313">
        <v>119.26</v>
      </c>
      <c r="I313">
        <v>299.39</v>
      </c>
      <c r="J313">
        <v>25163.86</v>
      </c>
      <c r="K313">
        <f t="shared" si="4"/>
        <v>-38007.43</v>
      </c>
    </row>
    <row r="314" spans="1:11" x14ac:dyDescent="0.45">
      <c r="A314" t="s">
        <v>17</v>
      </c>
      <c r="B314" t="s">
        <v>18</v>
      </c>
      <c r="C314" t="s">
        <v>27</v>
      </c>
      <c r="D314" t="s">
        <v>14</v>
      </c>
      <c r="E314" t="s">
        <v>28</v>
      </c>
      <c r="F314" s="7">
        <v>45237</v>
      </c>
      <c r="G314">
        <v>433</v>
      </c>
      <c r="H314">
        <v>231.15</v>
      </c>
      <c r="I314">
        <v>296.51</v>
      </c>
      <c r="J314">
        <v>100087.95</v>
      </c>
      <c r="K314">
        <f t="shared" si="4"/>
        <v>-28300.879999999994</v>
      </c>
    </row>
    <row r="315" spans="1:11" x14ac:dyDescent="0.45">
      <c r="A315" t="s">
        <v>11</v>
      </c>
      <c r="B315" t="s">
        <v>50</v>
      </c>
      <c r="C315" t="s">
        <v>13</v>
      </c>
      <c r="D315" t="s">
        <v>24</v>
      </c>
      <c r="E315" t="s">
        <v>20</v>
      </c>
      <c r="F315" s="7">
        <v>45238</v>
      </c>
      <c r="G315">
        <v>425</v>
      </c>
      <c r="H315">
        <v>99.21</v>
      </c>
      <c r="I315">
        <v>380.22</v>
      </c>
      <c r="J315">
        <v>42164.25</v>
      </c>
      <c r="K315">
        <f t="shared" si="4"/>
        <v>-119429.25000000001</v>
      </c>
    </row>
    <row r="316" spans="1:11" x14ac:dyDescent="0.45">
      <c r="A316" t="s">
        <v>17</v>
      </c>
      <c r="B316" t="s">
        <v>50</v>
      </c>
      <c r="C316" t="s">
        <v>23</v>
      </c>
      <c r="D316" t="s">
        <v>24</v>
      </c>
      <c r="E316" t="s">
        <v>28</v>
      </c>
      <c r="F316" s="7">
        <v>45239</v>
      </c>
      <c r="G316">
        <v>251</v>
      </c>
      <c r="H316">
        <v>30.91</v>
      </c>
      <c r="I316">
        <v>82.77</v>
      </c>
      <c r="J316">
        <v>7758.41</v>
      </c>
      <c r="K316">
        <f t="shared" si="4"/>
        <v>-13016.86</v>
      </c>
    </row>
    <row r="317" spans="1:11" x14ac:dyDescent="0.45">
      <c r="A317" t="s">
        <v>11</v>
      </c>
      <c r="B317" t="s">
        <v>26</v>
      </c>
      <c r="C317" t="s">
        <v>19</v>
      </c>
      <c r="D317" t="s">
        <v>14</v>
      </c>
      <c r="E317" t="s">
        <v>15</v>
      </c>
      <c r="F317" s="7">
        <v>45240</v>
      </c>
      <c r="G317">
        <v>248.5</v>
      </c>
      <c r="H317">
        <v>192.35</v>
      </c>
      <c r="I317">
        <v>227.09</v>
      </c>
      <c r="J317">
        <v>47798.974999999999</v>
      </c>
      <c r="K317">
        <f t="shared" si="4"/>
        <v>-8632.8900000000031</v>
      </c>
    </row>
    <row r="318" spans="1:11" x14ac:dyDescent="0.45">
      <c r="A318" t="s">
        <v>11</v>
      </c>
      <c r="B318" t="s">
        <v>26</v>
      </c>
      <c r="C318" t="s">
        <v>13</v>
      </c>
      <c r="D318" t="s">
        <v>14</v>
      </c>
      <c r="E318" t="s">
        <v>15</v>
      </c>
      <c r="F318" s="7">
        <v>45241</v>
      </c>
      <c r="G318">
        <v>11</v>
      </c>
      <c r="H318">
        <v>184.66</v>
      </c>
      <c r="I318">
        <v>391.9</v>
      </c>
      <c r="J318">
        <v>2031.26</v>
      </c>
      <c r="K318">
        <f t="shared" si="4"/>
        <v>-2279.64</v>
      </c>
    </row>
    <row r="319" spans="1:11" x14ac:dyDescent="0.45">
      <c r="A319" t="s">
        <v>17</v>
      </c>
      <c r="B319" t="s">
        <v>26</v>
      </c>
      <c r="C319" t="s">
        <v>23</v>
      </c>
      <c r="D319" t="s">
        <v>14</v>
      </c>
      <c r="E319" t="s">
        <v>28</v>
      </c>
      <c r="F319" s="7">
        <v>45242</v>
      </c>
      <c r="G319">
        <v>234</v>
      </c>
      <c r="H319">
        <v>497.76</v>
      </c>
      <c r="I319">
        <v>67.790000000000006</v>
      </c>
      <c r="J319">
        <v>116475.84</v>
      </c>
      <c r="K319">
        <f t="shared" si="4"/>
        <v>100612.98</v>
      </c>
    </row>
    <row r="320" spans="1:11" x14ac:dyDescent="0.45">
      <c r="A320" t="s">
        <v>11</v>
      </c>
      <c r="B320" t="s">
        <v>50</v>
      </c>
      <c r="C320" t="s">
        <v>23</v>
      </c>
      <c r="D320" t="s">
        <v>14</v>
      </c>
      <c r="E320" t="s">
        <v>20</v>
      </c>
      <c r="F320" s="7">
        <v>45243</v>
      </c>
      <c r="G320">
        <v>248.5</v>
      </c>
      <c r="H320">
        <v>225.94</v>
      </c>
      <c r="I320">
        <v>280.7</v>
      </c>
      <c r="J320">
        <v>56146.09</v>
      </c>
      <c r="K320">
        <f t="shared" si="4"/>
        <v>-13607.859999999997</v>
      </c>
    </row>
    <row r="321" spans="1:11" x14ac:dyDescent="0.45">
      <c r="A321" t="s">
        <v>22</v>
      </c>
      <c r="B321" t="s">
        <v>31</v>
      </c>
      <c r="C321" t="s">
        <v>42</v>
      </c>
      <c r="D321" t="s">
        <v>14</v>
      </c>
      <c r="E321" t="s">
        <v>20</v>
      </c>
      <c r="F321" s="7">
        <v>45244</v>
      </c>
      <c r="G321">
        <v>242</v>
      </c>
      <c r="H321">
        <v>170.12</v>
      </c>
      <c r="I321">
        <v>235.15</v>
      </c>
      <c r="J321">
        <v>41169.040000000001</v>
      </c>
      <c r="K321">
        <f t="shared" si="4"/>
        <v>-15737.26</v>
      </c>
    </row>
    <row r="322" spans="1:11" x14ac:dyDescent="0.45">
      <c r="A322" t="s">
        <v>11</v>
      </c>
      <c r="B322" t="s">
        <v>50</v>
      </c>
      <c r="C322" t="s">
        <v>27</v>
      </c>
      <c r="D322" t="s">
        <v>14</v>
      </c>
      <c r="E322" t="s">
        <v>15</v>
      </c>
      <c r="F322" s="7">
        <v>45245</v>
      </c>
      <c r="G322">
        <v>470</v>
      </c>
      <c r="H322">
        <v>292.33999999999997</v>
      </c>
      <c r="I322">
        <v>235.42</v>
      </c>
      <c r="J322">
        <v>137399.79999999999</v>
      </c>
      <c r="K322">
        <f t="shared" si="4"/>
        <v>26752.399999999994</v>
      </c>
    </row>
    <row r="323" spans="1:11" x14ac:dyDescent="0.45">
      <c r="A323" t="s">
        <v>48</v>
      </c>
      <c r="B323" t="s">
        <v>31</v>
      </c>
      <c r="C323" t="s">
        <v>27</v>
      </c>
      <c r="D323" t="s">
        <v>24</v>
      </c>
      <c r="E323" t="s">
        <v>15</v>
      </c>
      <c r="F323" s="7">
        <v>45246</v>
      </c>
      <c r="G323">
        <v>423</v>
      </c>
      <c r="H323">
        <v>48.94</v>
      </c>
      <c r="I323">
        <v>279.67</v>
      </c>
      <c r="J323">
        <v>20701.62</v>
      </c>
      <c r="K323">
        <f t="shared" si="4"/>
        <v>-97598.790000000008</v>
      </c>
    </row>
    <row r="324" spans="1:11" x14ac:dyDescent="0.45">
      <c r="A324" t="s">
        <v>17</v>
      </c>
      <c r="B324" t="s">
        <v>31</v>
      </c>
      <c r="C324" t="s">
        <v>13</v>
      </c>
      <c r="D324" t="s">
        <v>14</v>
      </c>
      <c r="E324" t="s">
        <v>20</v>
      </c>
      <c r="F324" s="7">
        <v>45247</v>
      </c>
      <c r="G324">
        <v>426</v>
      </c>
      <c r="H324">
        <v>481.02</v>
      </c>
      <c r="I324">
        <v>371.99</v>
      </c>
      <c r="J324">
        <v>204914.52</v>
      </c>
      <c r="K324">
        <f t="shared" si="4"/>
        <v>46446.779999999992</v>
      </c>
    </row>
    <row r="325" spans="1:11" x14ac:dyDescent="0.45">
      <c r="A325" t="s">
        <v>22</v>
      </c>
      <c r="B325" t="s">
        <v>26</v>
      </c>
      <c r="C325" t="s">
        <v>27</v>
      </c>
      <c r="D325" t="s">
        <v>24</v>
      </c>
      <c r="E325" t="s">
        <v>28</v>
      </c>
      <c r="F325" s="7">
        <v>45248</v>
      </c>
      <c r="G325">
        <v>86</v>
      </c>
      <c r="H325">
        <v>319.31</v>
      </c>
      <c r="I325">
        <v>313.47000000000003</v>
      </c>
      <c r="J325">
        <v>27460.66</v>
      </c>
      <c r="K325">
        <f t="shared" ref="K325:K353" si="5">(H325-I325)*G325</f>
        <v>502.23999999999785</v>
      </c>
    </row>
    <row r="326" spans="1:11" x14ac:dyDescent="0.45">
      <c r="A326" t="s">
        <v>17</v>
      </c>
      <c r="B326" t="s">
        <v>12</v>
      </c>
      <c r="C326" t="s">
        <v>19</v>
      </c>
      <c r="D326" t="s">
        <v>24</v>
      </c>
      <c r="E326" t="s">
        <v>15</v>
      </c>
      <c r="F326" s="7">
        <v>45249</v>
      </c>
      <c r="G326">
        <v>125</v>
      </c>
      <c r="H326">
        <v>378.64</v>
      </c>
      <c r="I326">
        <v>24.34</v>
      </c>
      <c r="J326">
        <v>47330</v>
      </c>
      <c r="K326">
        <f t="shared" si="5"/>
        <v>44287.5</v>
      </c>
    </row>
    <row r="327" spans="1:11" x14ac:dyDescent="0.45">
      <c r="A327" t="s">
        <v>48</v>
      </c>
      <c r="B327" t="s">
        <v>18</v>
      </c>
      <c r="C327" t="s">
        <v>13</v>
      </c>
      <c r="D327" t="s">
        <v>14</v>
      </c>
      <c r="E327" t="s">
        <v>15</v>
      </c>
      <c r="F327" s="7">
        <v>45250</v>
      </c>
      <c r="G327">
        <v>163</v>
      </c>
      <c r="H327">
        <v>89.39</v>
      </c>
      <c r="I327">
        <v>341.39</v>
      </c>
      <c r="J327">
        <v>14570.57</v>
      </c>
      <c r="K327">
        <f t="shared" si="5"/>
        <v>-41076</v>
      </c>
    </row>
    <row r="328" spans="1:11" x14ac:dyDescent="0.45">
      <c r="A328" t="s">
        <v>48</v>
      </c>
      <c r="B328" t="s">
        <v>26</v>
      </c>
      <c r="C328" t="s">
        <v>13</v>
      </c>
      <c r="D328" t="s">
        <v>24</v>
      </c>
      <c r="E328" t="s">
        <v>20</v>
      </c>
      <c r="F328" s="7">
        <v>45251</v>
      </c>
      <c r="G328">
        <v>415</v>
      </c>
      <c r="H328">
        <v>207.69</v>
      </c>
      <c r="I328">
        <v>91.77</v>
      </c>
      <c r="J328">
        <v>86191.35</v>
      </c>
      <c r="K328">
        <f t="shared" si="5"/>
        <v>48106.8</v>
      </c>
    </row>
    <row r="329" spans="1:11" x14ac:dyDescent="0.45">
      <c r="A329" t="s">
        <v>48</v>
      </c>
      <c r="B329" t="s">
        <v>26</v>
      </c>
      <c r="C329" t="s">
        <v>27</v>
      </c>
      <c r="D329" t="s">
        <v>24</v>
      </c>
      <c r="E329" t="s">
        <v>28</v>
      </c>
      <c r="F329" s="7">
        <v>45252</v>
      </c>
      <c r="G329">
        <v>112</v>
      </c>
      <c r="H329">
        <v>214.23</v>
      </c>
      <c r="I329">
        <v>152.01</v>
      </c>
      <c r="J329">
        <v>23993.759999999998</v>
      </c>
      <c r="K329">
        <f t="shared" si="5"/>
        <v>6968.6399999999994</v>
      </c>
    </row>
    <row r="330" spans="1:11" x14ac:dyDescent="0.45">
      <c r="A330" t="s">
        <v>11</v>
      </c>
      <c r="B330" t="s">
        <v>12</v>
      </c>
      <c r="C330" t="s">
        <v>19</v>
      </c>
      <c r="D330" t="s">
        <v>24</v>
      </c>
      <c r="E330" t="s">
        <v>20</v>
      </c>
      <c r="F330" s="7">
        <v>45253</v>
      </c>
      <c r="G330">
        <v>203</v>
      </c>
      <c r="H330">
        <v>411.79</v>
      </c>
      <c r="I330">
        <v>185.77</v>
      </c>
      <c r="J330">
        <v>83593.37000000001</v>
      </c>
      <c r="K330">
        <f t="shared" si="5"/>
        <v>45882.060000000005</v>
      </c>
    </row>
    <row r="331" spans="1:11" x14ac:dyDescent="0.45">
      <c r="A331" t="s">
        <v>11</v>
      </c>
      <c r="B331" t="s">
        <v>18</v>
      </c>
      <c r="C331" t="s">
        <v>42</v>
      </c>
      <c r="D331" t="s">
        <v>24</v>
      </c>
      <c r="E331" t="s">
        <v>28</v>
      </c>
      <c r="F331" s="7">
        <v>45254</v>
      </c>
      <c r="G331">
        <v>248.5</v>
      </c>
      <c r="H331">
        <v>5.61</v>
      </c>
      <c r="I331">
        <v>193.4</v>
      </c>
      <c r="J331">
        <v>1394.085</v>
      </c>
      <c r="K331">
        <f t="shared" si="5"/>
        <v>-46665.814999999995</v>
      </c>
    </row>
    <row r="332" spans="1:11" x14ac:dyDescent="0.45">
      <c r="A332" t="s">
        <v>17</v>
      </c>
      <c r="B332" t="s">
        <v>50</v>
      </c>
      <c r="C332" t="s">
        <v>13</v>
      </c>
      <c r="D332" t="s">
        <v>24</v>
      </c>
      <c r="E332" t="s">
        <v>28</v>
      </c>
      <c r="F332" s="7">
        <v>45255</v>
      </c>
      <c r="G332">
        <v>368</v>
      </c>
      <c r="H332">
        <v>153.91999999999999</v>
      </c>
      <c r="I332">
        <v>175.2</v>
      </c>
      <c r="J332">
        <v>56642.559999999998</v>
      </c>
      <c r="K332">
        <f t="shared" si="5"/>
        <v>-7831.0400000000009</v>
      </c>
    </row>
    <row r="333" spans="1:11" x14ac:dyDescent="0.45">
      <c r="A333" t="s">
        <v>17</v>
      </c>
      <c r="B333" t="s">
        <v>50</v>
      </c>
      <c r="C333" t="s">
        <v>42</v>
      </c>
      <c r="D333" t="s">
        <v>24</v>
      </c>
      <c r="E333" t="s">
        <v>28</v>
      </c>
      <c r="F333" s="7">
        <v>45256</v>
      </c>
      <c r="G333">
        <v>99</v>
      </c>
      <c r="H333">
        <v>490.71</v>
      </c>
      <c r="I333">
        <v>375.07</v>
      </c>
      <c r="J333">
        <v>48580.29</v>
      </c>
      <c r="K333">
        <f t="shared" si="5"/>
        <v>11448.359999999999</v>
      </c>
    </row>
    <row r="334" spans="1:11" x14ac:dyDescent="0.45">
      <c r="A334" t="s">
        <v>22</v>
      </c>
      <c r="B334" t="s">
        <v>26</v>
      </c>
      <c r="C334" t="s">
        <v>42</v>
      </c>
      <c r="D334" t="s">
        <v>14</v>
      </c>
      <c r="E334" t="s">
        <v>15</v>
      </c>
      <c r="F334" s="7">
        <v>45257</v>
      </c>
      <c r="G334">
        <v>183</v>
      </c>
      <c r="H334">
        <v>240.07</v>
      </c>
      <c r="I334">
        <v>283</v>
      </c>
      <c r="J334">
        <v>43932.81</v>
      </c>
      <c r="K334">
        <f t="shared" si="5"/>
        <v>-7856.1900000000014</v>
      </c>
    </row>
    <row r="335" spans="1:11" x14ac:dyDescent="0.45">
      <c r="A335" t="s">
        <v>17</v>
      </c>
      <c r="B335" t="s">
        <v>18</v>
      </c>
      <c r="C335" t="s">
        <v>42</v>
      </c>
      <c r="D335" t="s">
        <v>24</v>
      </c>
      <c r="E335" t="s">
        <v>20</v>
      </c>
      <c r="F335" s="7">
        <v>45258</v>
      </c>
      <c r="G335">
        <v>131</v>
      </c>
      <c r="H335">
        <v>194.35</v>
      </c>
      <c r="I335">
        <v>253.21</v>
      </c>
      <c r="J335">
        <v>25459.85</v>
      </c>
      <c r="K335">
        <f t="shared" si="5"/>
        <v>-7710.6600000000017</v>
      </c>
    </row>
    <row r="336" spans="1:11" x14ac:dyDescent="0.45">
      <c r="A336" t="s">
        <v>17</v>
      </c>
      <c r="B336" t="s">
        <v>26</v>
      </c>
      <c r="C336" t="s">
        <v>23</v>
      </c>
      <c r="D336" t="s">
        <v>24</v>
      </c>
      <c r="E336" t="s">
        <v>20</v>
      </c>
      <c r="F336" s="7">
        <v>45259</v>
      </c>
      <c r="G336">
        <v>152</v>
      </c>
      <c r="H336">
        <v>64.319999999999993</v>
      </c>
      <c r="I336">
        <v>21.84</v>
      </c>
      <c r="J336">
        <v>9776.64</v>
      </c>
      <c r="K336">
        <f t="shared" si="5"/>
        <v>6456.9599999999982</v>
      </c>
    </row>
    <row r="337" spans="1:11" x14ac:dyDescent="0.45">
      <c r="A337" t="s">
        <v>11</v>
      </c>
      <c r="B337" t="s">
        <v>31</v>
      </c>
      <c r="C337" t="s">
        <v>23</v>
      </c>
      <c r="D337" t="s">
        <v>24</v>
      </c>
      <c r="E337" t="s">
        <v>28</v>
      </c>
      <c r="F337" s="7">
        <v>45260</v>
      </c>
      <c r="G337">
        <v>491</v>
      </c>
      <c r="H337">
        <v>487.21</v>
      </c>
      <c r="I337">
        <v>361.76</v>
      </c>
      <c r="J337">
        <v>239220.11</v>
      </c>
      <c r="K337">
        <f t="shared" si="5"/>
        <v>61595.95</v>
      </c>
    </row>
    <row r="338" spans="1:11" x14ac:dyDescent="0.45">
      <c r="A338" t="s">
        <v>48</v>
      </c>
      <c r="B338" t="s">
        <v>26</v>
      </c>
      <c r="C338" t="s">
        <v>42</v>
      </c>
      <c r="D338" t="s">
        <v>14</v>
      </c>
      <c r="E338" t="s">
        <v>15</v>
      </c>
      <c r="F338" s="7">
        <v>45261</v>
      </c>
      <c r="G338">
        <v>115</v>
      </c>
      <c r="H338">
        <v>14.91</v>
      </c>
      <c r="I338">
        <v>363.94</v>
      </c>
      <c r="J338">
        <v>1714.65</v>
      </c>
      <c r="K338">
        <f t="shared" si="5"/>
        <v>-40138.449999999997</v>
      </c>
    </row>
    <row r="339" spans="1:11" x14ac:dyDescent="0.45">
      <c r="A339" t="s">
        <v>17</v>
      </c>
      <c r="B339" t="s">
        <v>26</v>
      </c>
      <c r="C339" t="s">
        <v>13</v>
      </c>
      <c r="D339" t="s">
        <v>24</v>
      </c>
      <c r="E339" t="s">
        <v>15</v>
      </c>
      <c r="F339" s="7">
        <v>45262</v>
      </c>
      <c r="G339">
        <v>384</v>
      </c>
      <c r="H339">
        <v>369.9</v>
      </c>
      <c r="I339">
        <v>312.52</v>
      </c>
      <c r="J339">
        <v>142041.60000000001</v>
      </c>
      <c r="K339">
        <f t="shared" si="5"/>
        <v>22033.919999999998</v>
      </c>
    </row>
    <row r="340" spans="1:11" x14ac:dyDescent="0.45">
      <c r="A340" t="s">
        <v>22</v>
      </c>
      <c r="B340" t="s">
        <v>50</v>
      </c>
      <c r="C340" t="s">
        <v>19</v>
      </c>
      <c r="D340" t="s">
        <v>14</v>
      </c>
      <c r="E340" t="s">
        <v>20</v>
      </c>
      <c r="F340" s="7">
        <v>45263</v>
      </c>
      <c r="G340">
        <v>437</v>
      </c>
      <c r="H340">
        <v>385.46</v>
      </c>
      <c r="I340">
        <v>4.8</v>
      </c>
      <c r="J340">
        <v>168446.02</v>
      </c>
      <c r="K340">
        <f t="shared" si="5"/>
        <v>166348.41999999998</v>
      </c>
    </row>
    <row r="341" spans="1:11" x14ac:dyDescent="0.45">
      <c r="A341" t="s">
        <v>11</v>
      </c>
      <c r="B341" t="s">
        <v>50</v>
      </c>
      <c r="C341" t="s">
        <v>19</v>
      </c>
      <c r="D341" t="s">
        <v>24</v>
      </c>
      <c r="E341" t="s">
        <v>15</v>
      </c>
      <c r="F341" s="7">
        <v>45264</v>
      </c>
      <c r="G341">
        <v>314</v>
      </c>
      <c r="H341">
        <v>125.61</v>
      </c>
      <c r="I341">
        <v>24.8</v>
      </c>
      <c r="J341">
        <v>39441.54</v>
      </c>
      <c r="K341">
        <f t="shared" si="5"/>
        <v>31654.34</v>
      </c>
    </row>
    <row r="342" spans="1:11" x14ac:dyDescent="0.45">
      <c r="A342" t="s">
        <v>17</v>
      </c>
      <c r="B342" t="s">
        <v>50</v>
      </c>
      <c r="C342" t="s">
        <v>27</v>
      </c>
      <c r="D342" t="s">
        <v>14</v>
      </c>
      <c r="E342" t="s">
        <v>15</v>
      </c>
      <c r="F342" s="7">
        <v>45265</v>
      </c>
      <c r="G342">
        <v>369</v>
      </c>
      <c r="H342">
        <v>337.42</v>
      </c>
      <c r="I342">
        <v>91.64</v>
      </c>
      <c r="J342">
        <v>124507.98</v>
      </c>
      <c r="K342">
        <f t="shared" si="5"/>
        <v>90692.82</v>
      </c>
    </row>
    <row r="343" spans="1:11" x14ac:dyDescent="0.45">
      <c r="A343" t="s">
        <v>17</v>
      </c>
      <c r="B343" t="s">
        <v>31</v>
      </c>
      <c r="C343" t="s">
        <v>13</v>
      </c>
      <c r="D343" t="s">
        <v>14</v>
      </c>
      <c r="E343" t="s">
        <v>28</v>
      </c>
      <c r="F343" s="7">
        <v>45266</v>
      </c>
      <c r="G343">
        <v>468</v>
      </c>
      <c r="H343">
        <v>51</v>
      </c>
      <c r="I343">
        <v>54.28</v>
      </c>
      <c r="J343">
        <v>23868</v>
      </c>
      <c r="K343">
        <f t="shared" si="5"/>
        <v>-1535.0400000000004</v>
      </c>
    </row>
    <row r="344" spans="1:11" x14ac:dyDescent="0.45">
      <c r="A344" t="s">
        <v>11</v>
      </c>
      <c r="B344" t="s">
        <v>50</v>
      </c>
      <c r="C344" t="s">
        <v>23</v>
      </c>
      <c r="D344" t="s">
        <v>24</v>
      </c>
      <c r="E344" t="s">
        <v>15</v>
      </c>
      <c r="F344" s="7">
        <v>45267</v>
      </c>
      <c r="G344">
        <v>326</v>
      </c>
      <c r="H344">
        <v>132.24</v>
      </c>
      <c r="I344">
        <v>160.74</v>
      </c>
      <c r="J344">
        <v>43110.240000000013</v>
      </c>
      <c r="K344">
        <f t="shared" si="5"/>
        <v>-9291</v>
      </c>
    </row>
    <row r="345" spans="1:11" x14ac:dyDescent="0.45">
      <c r="A345" t="s">
        <v>17</v>
      </c>
      <c r="B345" t="s">
        <v>18</v>
      </c>
      <c r="C345" t="s">
        <v>42</v>
      </c>
      <c r="D345" t="s">
        <v>24</v>
      </c>
      <c r="E345" t="s">
        <v>28</v>
      </c>
      <c r="F345" s="7">
        <v>45268</v>
      </c>
      <c r="G345">
        <v>460</v>
      </c>
      <c r="H345">
        <v>395.01</v>
      </c>
      <c r="I345">
        <v>369.2</v>
      </c>
      <c r="J345">
        <v>181704.6</v>
      </c>
      <c r="K345">
        <f t="shared" si="5"/>
        <v>11872.6</v>
      </c>
    </row>
    <row r="346" spans="1:11" x14ac:dyDescent="0.45">
      <c r="A346" t="s">
        <v>11</v>
      </c>
      <c r="B346" t="s">
        <v>12</v>
      </c>
      <c r="C346" t="s">
        <v>27</v>
      </c>
      <c r="D346" t="s">
        <v>14</v>
      </c>
      <c r="E346" t="s">
        <v>20</v>
      </c>
      <c r="F346" s="7">
        <v>45269</v>
      </c>
      <c r="G346">
        <v>132</v>
      </c>
      <c r="H346">
        <v>433.02</v>
      </c>
      <c r="I346">
        <v>189.88</v>
      </c>
      <c r="J346">
        <v>57158.64</v>
      </c>
      <c r="K346">
        <f t="shared" si="5"/>
        <v>32094.48</v>
      </c>
    </row>
    <row r="347" spans="1:11" x14ac:dyDescent="0.45">
      <c r="A347" t="s">
        <v>48</v>
      </c>
      <c r="B347" t="s">
        <v>18</v>
      </c>
      <c r="C347" t="s">
        <v>19</v>
      </c>
      <c r="D347" t="s">
        <v>24</v>
      </c>
      <c r="E347" t="s">
        <v>15</v>
      </c>
      <c r="F347" s="7">
        <v>45270</v>
      </c>
      <c r="G347">
        <v>399</v>
      </c>
      <c r="H347">
        <v>306.2</v>
      </c>
      <c r="I347">
        <v>7.33</v>
      </c>
      <c r="J347">
        <v>122173.8</v>
      </c>
      <c r="K347">
        <f t="shared" si="5"/>
        <v>119249.13</v>
      </c>
    </row>
    <row r="348" spans="1:11" x14ac:dyDescent="0.45">
      <c r="A348" t="s">
        <v>11</v>
      </c>
      <c r="B348" t="s">
        <v>18</v>
      </c>
      <c r="C348" t="s">
        <v>23</v>
      </c>
      <c r="D348" t="s">
        <v>14</v>
      </c>
      <c r="E348" t="s">
        <v>20</v>
      </c>
      <c r="F348" s="7">
        <v>45271</v>
      </c>
      <c r="G348">
        <v>18</v>
      </c>
      <c r="H348">
        <v>255.89</v>
      </c>
      <c r="I348">
        <v>114.53</v>
      </c>
      <c r="J348">
        <v>4606.0200000000004</v>
      </c>
      <c r="K348">
        <f t="shared" si="5"/>
        <v>2544.4799999999996</v>
      </c>
    </row>
    <row r="349" spans="1:11" x14ac:dyDescent="0.45">
      <c r="A349" t="s">
        <v>11</v>
      </c>
      <c r="B349" t="s">
        <v>50</v>
      </c>
      <c r="C349" t="s">
        <v>23</v>
      </c>
      <c r="D349" t="s">
        <v>14</v>
      </c>
      <c r="E349" t="s">
        <v>20</v>
      </c>
      <c r="F349" s="7">
        <v>45272</v>
      </c>
      <c r="G349">
        <v>271</v>
      </c>
      <c r="H349">
        <v>83.86</v>
      </c>
      <c r="I349">
        <v>19.75</v>
      </c>
      <c r="J349">
        <v>22726.06</v>
      </c>
      <c r="K349">
        <f t="shared" si="5"/>
        <v>17373.810000000001</v>
      </c>
    </row>
    <row r="350" spans="1:11" x14ac:dyDescent="0.45">
      <c r="A350" t="s">
        <v>17</v>
      </c>
      <c r="B350" t="s">
        <v>12</v>
      </c>
      <c r="C350" t="s">
        <v>42</v>
      </c>
      <c r="D350" t="s">
        <v>14</v>
      </c>
      <c r="E350" t="s">
        <v>15</v>
      </c>
      <c r="F350" s="7">
        <v>45273</v>
      </c>
      <c r="G350">
        <v>82</v>
      </c>
      <c r="H350">
        <v>36.24</v>
      </c>
      <c r="I350">
        <v>16.440000000000001</v>
      </c>
      <c r="J350">
        <v>2971.68</v>
      </c>
      <c r="K350">
        <f t="shared" si="5"/>
        <v>1623.6000000000001</v>
      </c>
    </row>
    <row r="351" spans="1:11" x14ac:dyDescent="0.45">
      <c r="A351" t="s">
        <v>17</v>
      </c>
      <c r="B351" t="s">
        <v>12</v>
      </c>
      <c r="C351" t="s">
        <v>19</v>
      </c>
      <c r="D351" t="s">
        <v>14</v>
      </c>
      <c r="E351" t="s">
        <v>15</v>
      </c>
      <c r="F351" s="7">
        <v>45274</v>
      </c>
      <c r="G351">
        <v>368</v>
      </c>
      <c r="H351">
        <v>63.24</v>
      </c>
      <c r="I351">
        <v>111.74</v>
      </c>
      <c r="J351">
        <v>23272.32</v>
      </c>
      <c r="K351">
        <f t="shared" si="5"/>
        <v>-17847.999999999996</v>
      </c>
    </row>
    <row r="352" spans="1:11" x14ac:dyDescent="0.45">
      <c r="A352" t="s">
        <v>17</v>
      </c>
      <c r="B352" t="s">
        <v>12</v>
      </c>
      <c r="C352" t="s">
        <v>13</v>
      </c>
      <c r="D352" t="s">
        <v>14</v>
      </c>
      <c r="E352" t="s">
        <v>20</v>
      </c>
      <c r="F352" s="7">
        <v>45275</v>
      </c>
      <c r="G352">
        <v>232</v>
      </c>
      <c r="H352">
        <v>117.54</v>
      </c>
      <c r="I352">
        <v>111.69</v>
      </c>
      <c r="J352">
        <v>27269.279999999999</v>
      </c>
      <c r="K352">
        <f t="shared" si="5"/>
        <v>1357.2000000000021</v>
      </c>
    </row>
    <row r="353" spans="1:11" x14ac:dyDescent="0.45">
      <c r="A353" t="s">
        <v>11</v>
      </c>
      <c r="B353" t="s">
        <v>31</v>
      </c>
      <c r="C353" t="s">
        <v>23</v>
      </c>
      <c r="D353" t="s">
        <v>24</v>
      </c>
      <c r="E353" t="s">
        <v>15</v>
      </c>
      <c r="F353" s="7">
        <v>45276</v>
      </c>
      <c r="G353">
        <v>425</v>
      </c>
      <c r="H353">
        <v>174.13</v>
      </c>
      <c r="I353">
        <v>315.27999999999997</v>
      </c>
      <c r="J353">
        <v>74005.25</v>
      </c>
      <c r="K353">
        <f t="shared" si="5"/>
        <v>-59988.749999999993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B847-7A67-415C-B618-F5583D89DDB3}">
  <dimension ref="A1"/>
  <sheetViews>
    <sheetView tabSelected="1" workbookViewId="0">
      <selection activeCell="O33" sqref="O33"/>
    </sheetView>
  </sheetViews>
  <sheetFormatPr defaultColWidth="8.86328125" defaultRowHeight="14.25" x14ac:dyDescent="0.45"/>
  <cols>
    <col min="1" max="16384" width="8.863281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1A00-2A5E-4CC2-BA43-A75B3D8F670C}">
  <dimension ref="A3:Q16"/>
  <sheetViews>
    <sheetView topLeftCell="A3" zoomScale="73" zoomScaleNormal="73" workbookViewId="0">
      <selection activeCell="A3" sqref="A3"/>
    </sheetView>
  </sheetViews>
  <sheetFormatPr defaultRowHeight="14.25" x14ac:dyDescent="0.45"/>
  <cols>
    <col min="1" max="1" width="13.33203125" bestFit="1" customWidth="1"/>
    <col min="2" max="2" width="19.6640625" bestFit="1" customWidth="1"/>
    <col min="4" max="4" width="13.33203125" bestFit="1" customWidth="1"/>
    <col min="5" max="5" width="19.6640625" bestFit="1" customWidth="1"/>
    <col min="7" max="7" width="13.33203125" bestFit="1" customWidth="1"/>
    <col min="8" max="8" width="19.6640625" bestFit="1" customWidth="1"/>
    <col min="10" max="10" width="13.33203125" bestFit="1" customWidth="1"/>
    <col min="11" max="11" width="19.6640625" bestFit="1" customWidth="1"/>
    <col min="13" max="13" width="13.33203125" bestFit="1" customWidth="1"/>
    <col min="14" max="14" width="19.6640625" bestFit="1" customWidth="1"/>
    <col min="16" max="16" width="13.33203125" bestFit="1" customWidth="1"/>
    <col min="17" max="17" width="19.6640625" bestFit="1" customWidth="1"/>
  </cols>
  <sheetData>
    <row r="3" spans="1:17" x14ac:dyDescent="0.45">
      <c r="A3" s="14" t="s">
        <v>388</v>
      </c>
      <c r="B3" t="s">
        <v>391</v>
      </c>
      <c r="D3" s="14" t="s">
        <v>388</v>
      </c>
      <c r="E3" t="s">
        <v>391</v>
      </c>
      <c r="G3" s="14" t="s">
        <v>388</v>
      </c>
      <c r="H3" t="s">
        <v>391</v>
      </c>
      <c r="J3" s="14" t="s">
        <v>388</v>
      </c>
      <c r="K3" t="s">
        <v>391</v>
      </c>
      <c r="M3" s="14" t="s">
        <v>388</v>
      </c>
      <c r="N3" t="s">
        <v>391</v>
      </c>
      <c r="P3" s="14" t="s">
        <v>388</v>
      </c>
      <c r="Q3" t="s">
        <v>391</v>
      </c>
    </row>
    <row r="4" spans="1:17" x14ac:dyDescent="0.45">
      <c r="A4" s="15" t="s">
        <v>11</v>
      </c>
      <c r="B4" s="16">
        <v>6291084.7249999996</v>
      </c>
      <c r="D4" s="15" t="s">
        <v>13</v>
      </c>
      <c r="E4" s="16">
        <v>5565110.2749999985</v>
      </c>
      <c r="G4" s="15" t="s">
        <v>50</v>
      </c>
      <c r="H4" s="16">
        <v>4030516.4699999997</v>
      </c>
      <c r="J4" s="15" t="s">
        <v>24</v>
      </c>
      <c r="K4" s="16">
        <v>10119159.790000001</v>
      </c>
      <c r="M4" s="15" t="s">
        <v>396</v>
      </c>
      <c r="N4" s="16">
        <v>2240001.81</v>
      </c>
      <c r="P4" s="15" t="s">
        <v>15</v>
      </c>
      <c r="Q4" s="16">
        <v>7434616.5200000005</v>
      </c>
    </row>
    <row r="5" spans="1:17" x14ac:dyDescent="0.45">
      <c r="A5" s="15" t="s">
        <v>22</v>
      </c>
      <c r="B5" s="16">
        <v>5246718.51</v>
      </c>
      <c r="D5" s="15" t="s">
        <v>23</v>
      </c>
      <c r="E5" s="16">
        <v>3847697.72</v>
      </c>
      <c r="G5" s="15" t="s">
        <v>12</v>
      </c>
      <c r="H5" s="16">
        <v>3731049.0599999996</v>
      </c>
      <c r="J5" s="15" t="s">
        <v>14</v>
      </c>
      <c r="K5" s="16">
        <v>12337203.660000006</v>
      </c>
      <c r="M5" s="15" t="s">
        <v>397</v>
      </c>
      <c r="N5" s="16">
        <v>1556270.2150000003</v>
      </c>
      <c r="P5" s="15" t="s">
        <v>20</v>
      </c>
      <c r="Q5" s="16">
        <v>6986225.9899999993</v>
      </c>
    </row>
    <row r="6" spans="1:17" x14ac:dyDescent="0.45">
      <c r="A6" s="15" t="s">
        <v>48</v>
      </c>
      <c r="B6" s="16">
        <v>4291215.294999999</v>
      </c>
      <c r="D6" s="15" t="s">
        <v>42</v>
      </c>
      <c r="E6" s="16">
        <v>4520832.9249999989</v>
      </c>
      <c r="G6" s="15" t="s">
        <v>18</v>
      </c>
      <c r="H6" s="16">
        <v>5622189.0100000016</v>
      </c>
      <c r="J6" s="15" t="s">
        <v>389</v>
      </c>
      <c r="K6" s="16">
        <v>22456363.450000007</v>
      </c>
      <c r="M6" s="15" t="s">
        <v>398</v>
      </c>
      <c r="N6" s="16">
        <v>1664512.0449999997</v>
      </c>
      <c r="P6" s="15" t="s">
        <v>28</v>
      </c>
      <c r="Q6" s="16">
        <v>8035520.9399999958</v>
      </c>
    </row>
    <row r="7" spans="1:17" x14ac:dyDescent="0.45">
      <c r="A7" s="15" t="s">
        <v>17</v>
      </c>
      <c r="B7" s="16">
        <v>6627344.9199999981</v>
      </c>
      <c r="D7" s="15" t="s">
        <v>19</v>
      </c>
      <c r="E7" s="16">
        <v>4068110.9750000001</v>
      </c>
      <c r="G7" s="15" t="s">
        <v>31</v>
      </c>
      <c r="H7" s="16">
        <v>4362562.59</v>
      </c>
      <c r="M7" s="15" t="s">
        <v>399</v>
      </c>
      <c r="N7" s="16">
        <v>1756432.4249999998</v>
      </c>
      <c r="P7" s="15" t="s">
        <v>389</v>
      </c>
      <c r="Q7" s="16">
        <v>22456363.449999996</v>
      </c>
    </row>
    <row r="8" spans="1:17" x14ac:dyDescent="0.45">
      <c r="A8" s="15" t="s">
        <v>389</v>
      </c>
      <c r="B8" s="16">
        <v>22456363.449999996</v>
      </c>
      <c r="D8" s="15" t="s">
        <v>27</v>
      </c>
      <c r="E8" s="16">
        <v>4454611.5550000006</v>
      </c>
      <c r="G8" s="15" t="s">
        <v>26</v>
      </c>
      <c r="H8" s="16">
        <v>4710046.3199999966</v>
      </c>
      <c r="M8" s="15" t="s">
        <v>400</v>
      </c>
      <c r="N8" s="16">
        <v>1969619.42</v>
      </c>
    </row>
    <row r="9" spans="1:17" x14ac:dyDescent="0.45">
      <c r="D9" s="15" t="s">
        <v>389</v>
      </c>
      <c r="E9" s="16">
        <v>22456363.449999999</v>
      </c>
      <c r="G9" s="15" t="s">
        <v>389</v>
      </c>
      <c r="H9" s="16">
        <v>22456363.449999999</v>
      </c>
      <c r="M9" s="15" t="s">
        <v>401</v>
      </c>
      <c r="N9" s="16">
        <v>2763277.7600000012</v>
      </c>
    </row>
    <row r="10" spans="1:17" x14ac:dyDescent="0.45">
      <c r="M10" s="15" t="s">
        <v>402</v>
      </c>
      <c r="N10" s="16">
        <v>2275978.7349999999</v>
      </c>
    </row>
    <row r="11" spans="1:17" x14ac:dyDescent="0.45">
      <c r="M11" s="15" t="s">
        <v>403</v>
      </c>
      <c r="N11" s="16">
        <v>1700250.3849999998</v>
      </c>
    </row>
    <row r="12" spans="1:17" x14ac:dyDescent="0.45">
      <c r="M12" s="15" t="s">
        <v>404</v>
      </c>
      <c r="N12" s="16">
        <v>2056605.2250000001</v>
      </c>
    </row>
    <row r="13" spans="1:17" x14ac:dyDescent="0.45">
      <c r="M13" s="15" t="s">
        <v>405</v>
      </c>
      <c r="N13" s="16">
        <v>1748980.5649999999</v>
      </c>
    </row>
    <row r="14" spans="1:17" x14ac:dyDescent="0.45">
      <c r="M14" s="15" t="s">
        <v>406</v>
      </c>
      <c r="N14" s="16">
        <v>1665417.1850000001</v>
      </c>
    </row>
    <row r="15" spans="1:17" x14ac:dyDescent="0.45">
      <c r="M15" s="15" t="s">
        <v>407</v>
      </c>
      <c r="N15" s="16">
        <v>1059017.6800000002</v>
      </c>
    </row>
    <row r="16" spans="1:17" x14ac:dyDescent="0.45">
      <c r="M16" s="15" t="s">
        <v>389</v>
      </c>
      <c r="N16" s="16">
        <v>22456363.449999999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Question1.</vt:lpstr>
      <vt:lpstr>Question2.</vt:lpstr>
      <vt:lpstr>Question3.</vt:lpstr>
      <vt:lpstr>Question4.</vt:lpstr>
      <vt:lpstr>Question6.</vt:lpstr>
      <vt:lpstr>Question7.</vt:lpstr>
      <vt:lpstr>Question8.</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cp:lastModifiedBy>
  <dcterms:created xsi:type="dcterms:W3CDTF">2025-12-25T11:49:55Z</dcterms:created>
  <dcterms:modified xsi:type="dcterms:W3CDTF">2025-12-29T09:06:20Z</dcterms:modified>
</cp:coreProperties>
</file>